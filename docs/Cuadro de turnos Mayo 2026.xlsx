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 Carlos Etayo\programacionturnos\docs\"/>
    </mc:Choice>
  </mc:AlternateContent>
  <xr:revisionPtr revIDLastSave="0" documentId="13_ncr:1_{49FCC405-4900-461C-A8C7-BF7FE94604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Jefes de enfermeria" sheetId="3" r:id="rId1"/>
    <sheet name="Auxiliares de enferm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7" i="4" l="1"/>
  <c r="AO37" i="4"/>
  <c r="Y33" i="4"/>
  <c r="Q11" i="4"/>
  <c r="Q12" i="4"/>
  <c r="Q24" i="4"/>
  <c r="AX57" i="4"/>
  <c r="E57" i="4"/>
  <c r="AX56" i="4"/>
  <c r="AW56" i="4"/>
  <c r="AO56" i="4"/>
  <c r="AG56" i="4"/>
  <c r="Y56" i="4"/>
  <c r="Q56" i="4"/>
  <c r="AY55" i="4"/>
  <c r="AX55" i="4"/>
  <c r="AW55" i="4"/>
  <c r="AO55" i="4"/>
  <c r="AG55" i="4"/>
  <c r="Y55" i="4"/>
  <c r="Q55" i="4"/>
  <c r="AY54" i="4"/>
  <c r="AX54" i="4"/>
  <c r="AW54" i="4"/>
  <c r="AO54" i="4"/>
  <c r="AG54" i="4"/>
  <c r="Y54" i="4"/>
  <c r="Q54" i="4"/>
  <c r="AY53" i="4"/>
  <c r="AX53" i="4"/>
  <c r="AW53" i="4"/>
  <c r="AO53" i="4"/>
  <c r="AG53" i="4"/>
  <c r="Y53" i="4"/>
  <c r="Q53" i="4"/>
  <c r="AW52" i="4"/>
  <c r="AO52" i="4"/>
  <c r="AG52" i="4"/>
  <c r="Y52" i="4"/>
  <c r="Q52" i="4"/>
  <c r="AW51" i="4"/>
  <c r="AO51" i="4"/>
  <c r="AG51" i="4"/>
  <c r="Y51" i="4"/>
  <c r="Q51" i="4"/>
  <c r="AW50" i="4"/>
  <c r="AO50" i="4"/>
  <c r="AG50" i="4"/>
  <c r="Y50" i="4"/>
  <c r="Q50" i="4"/>
  <c r="AW49" i="4"/>
  <c r="AO49" i="4"/>
  <c r="AG49" i="4"/>
  <c r="AW48" i="4"/>
  <c r="AO48" i="4"/>
  <c r="AG48" i="4"/>
  <c r="Y48" i="4"/>
  <c r="Q48" i="4"/>
  <c r="AW47" i="4"/>
  <c r="AO47" i="4"/>
  <c r="AG47" i="4"/>
  <c r="Y47" i="4"/>
  <c r="Q47" i="4"/>
  <c r="AW46" i="4"/>
  <c r="AO46" i="4"/>
  <c r="AG46" i="4"/>
  <c r="Y46" i="4"/>
  <c r="Q46" i="4"/>
  <c r="AW45" i="4"/>
  <c r="AO45" i="4"/>
  <c r="AG45" i="4"/>
  <c r="Y45" i="4"/>
  <c r="Q45" i="4"/>
  <c r="AW44" i="4"/>
  <c r="AO44" i="4"/>
  <c r="AG44" i="4"/>
  <c r="Y44" i="4"/>
  <c r="Q44" i="4"/>
  <c r="E44" i="4"/>
  <c r="AW43" i="4"/>
  <c r="AO43" i="4"/>
  <c r="AG43" i="4"/>
  <c r="E43" i="4"/>
  <c r="AY42" i="4"/>
  <c r="AX42" i="4"/>
  <c r="AW42" i="4"/>
  <c r="AO42" i="4"/>
  <c r="AG42" i="4"/>
  <c r="Y42" i="4"/>
  <c r="Q42" i="4"/>
  <c r="E42" i="4"/>
  <c r="AW41" i="4"/>
  <c r="AO41" i="4"/>
  <c r="AG41" i="4"/>
  <c r="Y41" i="4"/>
  <c r="Q41" i="4"/>
  <c r="E41" i="4"/>
  <c r="AW40" i="4"/>
  <c r="AO40" i="4"/>
  <c r="AG40" i="4"/>
  <c r="E40" i="4"/>
  <c r="AW39" i="4"/>
  <c r="AO39" i="4"/>
  <c r="AG39" i="4"/>
  <c r="Y39" i="4"/>
  <c r="Q39" i="4"/>
  <c r="E39" i="4"/>
  <c r="AW38" i="4"/>
  <c r="AO38" i="4"/>
  <c r="AG38" i="4"/>
  <c r="Y38" i="4"/>
  <c r="Q38" i="4"/>
  <c r="AW37" i="4"/>
  <c r="AG37" i="4"/>
  <c r="Q37" i="4"/>
  <c r="E37" i="4"/>
  <c r="AW36" i="4"/>
  <c r="AO36" i="4"/>
  <c r="AG36" i="4"/>
  <c r="Y36" i="4"/>
  <c r="Q36" i="4"/>
  <c r="E36" i="4"/>
  <c r="AY35" i="4"/>
  <c r="AX35" i="4"/>
  <c r="AW35" i="4"/>
  <c r="AO35" i="4"/>
  <c r="AG35" i="4"/>
  <c r="Y35" i="4"/>
  <c r="Q35" i="4"/>
  <c r="AY34" i="4"/>
  <c r="AX34" i="4"/>
  <c r="AW34" i="4"/>
  <c r="AO34" i="4"/>
  <c r="AG34" i="4"/>
  <c r="Y34" i="4"/>
  <c r="Q34" i="4"/>
  <c r="E34" i="4"/>
  <c r="AY33" i="4"/>
  <c r="AX33" i="4"/>
  <c r="AW33" i="4"/>
  <c r="AO33" i="4"/>
  <c r="AG33" i="4"/>
  <c r="E33" i="4"/>
  <c r="AY32" i="4"/>
  <c r="AX32" i="4"/>
  <c r="AW32" i="4"/>
  <c r="AO32" i="4"/>
  <c r="AG32" i="4"/>
  <c r="Y32" i="4"/>
  <c r="Q32" i="4"/>
  <c r="E32" i="4"/>
  <c r="AY31" i="4"/>
  <c r="AX31" i="4"/>
  <c r="AW31" i="4"/>
  <c r="AO31" i="4"/>
  <c r="AG31" i="4"/>
  <c r="Y31" i="4"/>
  <c r="Q31" i="4"/>
  <c r="E31" i="4"/>
  <c r="AY30" i="4"/>
  <c r="AX30" i="4"/>
  <c r="AW30" i="4"/>
  <c r="AO30" i="4"/>
  <c r="AG30" i="4"/>
  <c r="Y30" i="4"/>
  <c r="Q30" i="4"/>
  <c r="E30" i="4"/>
  <c r="AY29" i="4"/>
  <c r="AX29" i="4"/>
  <c r="AW29" i="4"/>
  <c r="AO29" i="4"/>
  <c r="AG29" i="4"/>
  <c r="Y29" i="4"/>
  <c r="Q29" i="4"/>
  <c r="E29" i="4"/>
  <c r="AY28" i="4"/>
  <c r="AX28" i="4"/>
  <c r="AW28" i="4"/>
  <c r="AO28" i="4"/>
  <c r="AG28" i="4"/>
  <c r="E28" i="4"/>
  <c r="AY27" i="4"/>
  <c r="AX27" i="4"/>
  <c r="AW27" i="4"/>
  <c r="AO27" i="4"/>
  <c r="AG27" i="4"/>
  <c r="Y27" i="4"/>
  <c r="Q27" i="4"/>
  <c r="E27" i="4"/>
  <c r="AY26" i="4"/>
  <c r="AX26" i="4"/>
  <c r="AW26" i="4"/>
  <c r="AO26" i="4"/>
  <c r="AG26" i="4"/>
  <c r="Y26" i="4"/>
  <c r="Q26" i="4"/>
  <c r="E26" i="4"/>
  <c r="AY25" i="4"/>
  <c r="AX25" i="4"/>
  <c r="Q25" i="4"/>
  <c r="E25" i="4"/>
  <c r="AY24" i="4"/>
  <c r="AX24" i="4"/>
  <c r="E24" i="4"/>
  <c r="AY23" i="4"/>
  <c r="AX23" i="4"/>
  <c r="AW23" i="4"/>
  <c r="AO23" i="4"/>
  <c r="AG23" i="4"/>
  <c r="Y23" i="4"/>
  <c r="Q23" i="4"/>
  <c r="E23" i="4"/>
  <c r="AY22" i="4"/>
  <c r="AX22" i="4"/>
  <c r="AW22" i="4"/>
  <c r="AO22" i="4"/>
  <c r="AG22" i="4"/>
  <c r="Y22" i="4"/>
  <c r="Q22" i="4"/>
  <c r="E22" i="4"/>
  <c r="AY21" i="4"/>
  <c r="AX21" i="4"/>
  <c r="AW21" i="4"/>
  <c r="AO21" i="4"/>
  <c r="AG21" i="4"/>
  <c r="Y21" i="4"/>
  <c r="Q21" i="4"/>
  <c r="E21" i="4"/>
  <c r="AY20" i="4"/>
  <c r="AX20" i="4"/>
  <c r="AW20" i="4"/>
  <c r="AO20" i="4"/>
  <c r="AG20" i="4"/>
  <c r="Y20" i="4"/>
  <c r="Q20" i="4"/>
  <c r="E20" i="4"/>
  <c r="AY19" i="4"/>
  <c r="AX19" i="4"/>
  <c r="AW19" i="4"/>
  <c r="AO19" i="4"/>
  <c r="AG19" i="4"/>
  <c r="Y19" i="4"/>
  <c r="Q19" i="4"/>
  <c r="E19" i="4"/>
  <c r="AY18" i="4"/>
  <c r="AX18" i="4"/>
  <c r="AW18" i="4"/>
  <c r="AO18" i="4"/>
  <c r="AG18" i="4"/>
  <c r="Y18" i="4"/>
  <c r="Q18" i="4"/>
  <c r="E18" i="4"/>
  <c r="AY17" i="4"/>
  <c r="AX17" i="4"/>
  <c r="AW17" i="4"/>
  <c r="AO17" i="4"/>
  <c r="AG17" i="4"/>
  <c r="E17" i="4"/>
  <c r="AY16" i="4"/>
  <c r="AX16" i="4"/>
  <c r="AW16" i="4"/>
  <c r="AO16" i="4"/>
  <c r="AG16" i="4"/>
  <c r="Y16" i="4"/>
  <c r="Q16" i="4"/>
  <c r="E16" i="4"/>
  <c r="AY15" i="4"/>
  <c r="AX15" i="4"/>
  <c r="AW15" i="4"/>
  <c r="AO15" i="4"/>
  <c r="AG15" i="4"/>
  <c r="Y15" i="4"/>
  <c r="Q15" i="4"/>
  <c r="E15" i="4"/>
  <c r="AY14" i="4"/>
  <c r="AX14" i="4"/>
  <c r="AW14" i="4"/>
  <c r="AO14" i="4"/>
  <c r="AG14" i="4"/>
  <c r="Y14" i="4"/>
  <c r="Q14" i="4"/>
  <c r="E14" i="4"/>
  <c r="AY13" i="4"/>
  <c r="AX13" i="4"/>
  <c r="AW13" i="4"/>
  <c r="AO13" i="4"/>
  <c r="AG13" i="4"/>
  <c r="Y13" i="4"/>
  <c r="Q13" i="4"/>
  <c r="E13" i="4"/>
  <c r="AY12" i="4"/>
  <c r="AX12" i="4"/>
  <c r="AW12" i="4"/>
  <c r="AO12" i="4"/>
  <c r="AG12" i="4"/>
  <c r="E12" i="4"/>
  <c r="AY11" i="4"/>
  <c r="AX11" i="4"/>
  <c r="AW11" i="4"/>
  <c r="AO11" i="4"/>
  <c r="AG11" i="4"/>
  <c r="Y11" i="4"/>
  <c r="E11" i="4"/>
  <c r="AY10" i="4"/>
  <c r="AX10" i="4"/>
  <c r="AW10" i="4"/>
  <c r="AO10" i="4"/>
  <c r="AG10" i="4"/>
  <c r="Y10" i="4"/>
  <c r="Q10" i="4"/>
  <c r="E10" i="4"/>
  <c r="BD38" i="3"/>
  <c r="BC38" i="3"/>
  <c r="BB38" i="3"/>
  <c r="BA38" i="3"/>
  <c r="AZ38" i="3"/>
  <c r="AY38" i="3"/>
  <c r="AX38" i="3"/>
  <c r="AT38" i="3"/>
  <c r="AS38" i="3"/>
  <c r="AR38" i="3"/>
  <c r="AQ38" i="3"/>
  <c r="AP38" i="3"/>
  <c r="AO38" i="3"/>
  <c r="AN38" i="3"/>
  <c r="AL38" i="3"/>
  <c r="AK38" i="3"/>
  <c r="AJ38" i="3"/>
  <c r="AI38" i="3"/>
  <c r="AH38" i="3"/>
  <c r="AG38" i="3"/>
  <c r="AF38" i="3"/>
  <c r="AD38" i="3"/>
  <c r="AC38" i="3"/>
  <c r="AB38" i="3"/>
  <c r="AA38" i="3"/>
  <c r="Z38" i="3"/>
  <c r="Y38" i="3"/>
  <c r="X38" i="3"/>
  <c r="V38" i="3"/>
  <c r="U38" i="3"/>
  <c r="T38" i="3"/>
  <c r="S38" i="3"/>
  <c r="R38" i="3"/>
  <c r="Q38" i="3"/>
  <c r="P38" i="3"/>
  <c r="N38" i="3"/>
  <c r="M38" i="3"/>
  <c r="L38" i="3"/>
  <c r="J38" i="3"/>
  <c r="I38" i="3"/>
  <c r="H38" i="3"/>
  <c r="G38" i="3"/>
  <c r="F38" i="3"/>
  <c r="E38" i="3"/>
  <c r="D38" i="3"/>
  <c r="BD37" i="3"/>
  <c r="BC37" i="3"/>
  <c r="BB37" i="3"/>
  <c r="BA37" i="3"/>
  <c r="AZ37" i="3"/>
  <c r="AY37" i="3"/>
  <c r="AX37" i="3"/>
  <c r="AL37" i="3"/>
  <c r="AK37" i="3"/>
  <c r="AJ37" i="3"/>
  <c r="AI37" i="3"/>
  <c r="AH37" i="3"/>
  <c r="AG37" i="3"/>
  <c r="AF37" i="3"/>
  <c r="AD37" i="3"/>
  <c r="AC37" i="3"/>
  <c r="AB37" i="3"/>
  <c r="AA37" i="3"/>
  <c r="Z37" i="3"/>
  <c r="Y37" i="3"/>
  <c r="X37" i="3"/>
  <c r="V37" i="3"/>
  <c r="U37" i="3"/>
  <c r="T37" i="3"/>
  <c r="S37" i="3"/>
  <c r="R37" i="3"/>
  <c r="Q37" i="3"/>
  <c r="P37" i="3"/>
  <c r="N37" i="3"/>
  <c r="M37" i="3"/>
  <c r="L37" i="3"/>
  <c r="J37" i="3"/>
  <c r="I37" i="3"/>
  <c r="H37" i="3"/>
  <c r="G37" i="3"/>
  <c r="F37" i="3"/>
  <c r="E37" i="3"/>
  <c r="D37" i="3"/>
  <c r="BD36" i="3"/>
  <c r="BC36" i="3"/>
  <c r="BB36" i="3"/>
  <c r="BA36" i="3"/>
  <c r="AZ36" i="3"/>
  <c r="AY36" i="3"/>
  <c r="AX36" i="3"/>
  <c r="AL36" i="3"/>
  <c r="AK36" i="3"/>
  <c r="AJ36" i="3"/>
  <c r="AI36" i="3"/>
  <c r="AH36" i="3"/>
  <c r="AG36" i="3"/>
  <c r="AF36" i="3"/>
  <c r="AD36" i="3"/>
  <c r="AC36" i="3"/>
  <c r="AB36" i="3"/>
  <c r="AA36" i="3"/>
  <c r="Z36" i="3"/>
  <c r="Y36" i="3"/>
  <c r="X36" i="3"/>
  <c r="V36" i="3"/>
  <c r="U36" i="3"/>
  <c r="T36" i="3"/>
  <c r="S36" i="3"/>
  <c r="R36" i="3"/>
  <c r="Q36" i="3"/>
  <c r="P36" i="3"/>
  <c r="N36" i="3"/>
  <c r="M36" i="3"/>
  <c r="L36" i="3"/>
  <c r="J36" i="3"/>
  <c r="I36" i="3"/>
  <c r="H36" i="3"/>
  <c r="G36" i="3"/>
  <c r="F36" i="3"/>
  <c r="E36" i="3"/>
  <c r="D36" i="3"/>
  <c r="BD35" i="3"/>
  <c r="BD39" i="3" s="1"/>
  <c r="BC35" i="3"/>
  <c r="BC39" i="3" s="1"/>
  <c r="BB35" i="3"/>
  <c r="BB39" i="3" s="1"/>
  <c r="BA35" i="3"/>
  <c r="BA39" i="3" s="1"/>
  <c r="AZ35" i="3"/>
  <c r="AZ39" i="3" s="1"/>
  <c r="AY35" i="3"/>
  <c r="AY39" i="3" s="1"/>
  <c r="AX35" i="3"/>
  <c r="AX39" i="3" s="1"/>
  <c r="AT35" i="3"/>
  <c r="AS35" i="3"/>
  <c r="AR35" i="3"/>
  <c r="AQ35" i="3"/>
  <c r="AP35" i="3"/>
  <c r="AO35" i="3"/>
  <c r="AN35" i="3"/>
  <c r="AL35" i="3"/>
  <c r="AL39" i="3" s="1"/>
  <c r="AK35" i="3"/>
  <c r="AK39" i="3" s="1"/>
  <c r="AJ35" i="3"/>
  <c r="AJ39" i="3" s="1"/>
  <c r="AI35" i="3"/>
  <c r="AI39" i="3" s="1"/>
  <c r="AH35" i="3"/>
  <c r="AH39" i="3" s="1"/>
  <c r="AG35" i="3"/>
  <c r="AG39" i="3" s="1"/>
  <c r="AF35" i="3"/>
  <c r="AF39" i="3" s="1"/>
  <c r="AD35" i="3"/>
  <c r="AD39" i="3" s="1"/>
  <c r="AC35" i="3"/>
  <c r="AC39" i="3" s="1"/>
  <c r="AB35" i="3"/>
  <c r="AB39" i="3" s="1"/>
  <c r="AA35" i="3"/>
  <c r="AA39" i="3" s="1"/>
  <c r="Z35" i="3"/>
  <c r="Z39" i="3" s="1"/>
  <c r="Y35" i="3"/>
  <c r="Y39" i="3" s="1"/>
  <c r="X35" i="3"/>
  <c r="X39" i="3" s="1"/>
  <c r="V35" i="3"/>
  <c r="V39" i="3" s="1"/>
  <c r="U35" i="3"/>
  <c r="T35" i="3"/>
  <c r="T39" i="3" s="1"/>
  <c r="S35" i="3"/>
  <c r="S39" i="3" s="1"/>
  <c r="R35" i="3"/>
  <c r="R39" i="3" s="1"/>
  <c r="Q35" i="3"/>
  <c r="Q39" i="3" s="1"/>
  <c r="P35" i="3"/>
  <c r="P39" i="3" s="1"/>
  <c r="N35" i="3"/>
  <c r="N39" i="3" s="1"/>
  <c r="M35" i="3"/>
  <c r="M39" i="3" s="1"/>
  <c r="L35" i="3"/>
  <c r="L39" i="3" s="1"/>
  <c r="J35" i="3"/>
  <c r="I35" i="3"/>
  <c r="I39" i="3" s="1"/>
  <c r="H35" i="3"/>
  <c r="H39" i="3" s="1"/>
  <c r="G35" i="3"/>
  <c r="G39" i="3" s="1"/>
  <c r="F35" i="3"/>
  <c r="F39" i="3" s="1"/>
  <c r="E35" i="3"/>
  <c r="E39" i="3" s="1"/>
  <c r="D35" i="3"/>
  <c r="D39" i="3" s="1"/>
  <c r="BE33" i="3"/>
  <c r="AM33" i="3"/>
  <c r="AE33" i="3"/>
  <c r="W33" i="3"/>
  <c r="O33" i="3"/>
  <c r="BE32" i="3"/>
  <c r="AW32" i="3"/>
  <c r="AV32" i="3"/>
  <c r="AM32" i="3"/>
  <c r="AE32" i="3"/>
  <c r="W32" i="3"/>
  <c r="O32" i="3"/>
  <c r="BE31" i="3"/>
  <c r="AM31" i="3"/>
  <c r="AE31" i="3"/>
  <c r="W31" i="3"/>
  <c r="O31" i="3"/>
  <c r="K31" i="3"/>
  <c r="BE30" i="3"/>
  <c r="AM30" i="3"/>
  <c r="AE30" i="3"/>
  <c r="W30" i="3"/>
  <c r="O30" i="3"/>
  <c r="K30" i="3"/>
  <c r="BE29" i="3"/>
  <c r="AM29" i="3"/>
  <c r="AE29" i="3"/>
  <c r="W29" i="3"/>
  <c r="O29" i="3"/>
  <c r="K29" i="3"/>
  <c r="BE28" i="3"/>
  <c r="AM28" i="3"/>
  <c r="AE28" i="3"/>
  <c r="W28" i="3"/>
  <c r="O28" i="3"/>
  <c r="K28" i="3"/>
  <c r="BE27" i="3"/>
  <c r="AV27" i="3"/>
  <c r="AM27" i="3"/>
  <c r="AE27" i="3"/>
  <c r="W27" i="3"/>
  <c r="O27" i="3"/>
  <c r="K27" i="3"/>
  <c r="BE26" i="3"/>
  <c r="AV26" i="3"/>
  <c r="AM26" i="3"/>
  <c r="AE26" i="3"/>
  <c r="W26" i="3"/>
  <c r="O26" i="3"/>
  <c r="K26" i="3"/>
  <c r="BE25" i="3"/>
  <c r="AW25" i="3"/>
  <c r="AV25" i="3"/>
  <c r="AM25" i="3"/>
  <c r="AE25" i="3"/>
  <c r="W25" i="3"/>
  <c r="O25" i="3"/>
  <c r="K25" i="3"/>
  <c r="BE24" i="3"/>
  <c r="AW24" i="3"/>
  <c r="AV24" i="3"/>
  <c r="AU24" i="3"/>
  <c r="AM24" i="3"/>
  <c r="AE24" i="3"/>
  <c r="W24" i="3"/>
  <c r="O24" i="3"/>
  <c r="K24" i="3"/>
  <c r="BE23" i="3"/>
  <c r="AW23" i="3"/>
  <c r="AV23" i="3"/>
  <c r="AU23" i="3"/>
  <c r="AM23" i="3"/>
  <c r="AE23" i="3"/>
  <c r="W23" i="3"/>
  <c r="O23" i="3"/>
  <c r="K23" i="3"/>
  <c r="BE22" i="3"/>
  <c r="AW22" i="3"/>
  <c r="AV22" i="3"/>
  <c r="AM22" i="3"/>
  <c r="AE22" i="3"/>
  <c r="W22" i="3"/>
  <c r="O22" i="3"/>
  <c r="K22" i="3"/>
  <c r="BE21" i="3"/>
  <c r="AW21" i="3"/>
  <c r="AV21" i="3"/>
  <c r="AU21" i="3"/>
  <c r="O21" i="3"/>
  <c r="BE20" i="3"/>
  <c r="AW20" i="3"/>
  <c r="AV20" i="3"/>
  <c r="AM20" i="3"/>
  <c r="AE20" i="3"/>
  <c r="W20" i="3"/>
  <c r="O20" i="3"/>
  <c r="K20" i="3"/>
  <c r="BE19" i="3"/>
  <c r="AW19" i="3"/>
  <c r="AV19" i="3"/>
  <c r="AM19" i="3"/>
  <c r="AE19" i="3"/>
  <c r="W19" i="3"/>
  <c r="O19" i="3"/>
  <c r="K19" i="3"/>
  <c r="BE18" i="3"/>
  <c r="AW18" i="3"/>
  <c r="AV18" i="3"/>
  <c r="AU18" i="3"/>
  <c r="AM18" i="3"/>
  <c r="AE18" i="3"/>
  <c r="W18" i="3"/>
  <c r="O18" i="3"/>
  <c r="K18" i="3"/>
  <c r="BE17" i="3"/>
  <c r="AW17" i="3"/>
  <c r="AV17" i="3"/>
  <c r="AU17" i="3"/>
  <c r="AM17" i="3"/>
  <c r="AE17" i="3"/>
  <c r="W17" i="3"/>
  <c r="O17" i="3"/>
  <c r="K17" i="3"/>
  <c r="BE16" i="3"/>
  <c r="AW16" i="3"/>
  <c r="AV16" i="3"/>
  <c r="AU16" i="3"/>
  <c r="AM16" i="3"/>
  <c r="AE16" i="3"/>
  <c r="W16" i="3"/>
  <c r="O16" i="3"/>
  <c r="K16" i="3"/>
  <c r="BE15" i="3"/>
  <c r="AW15" i="3"/>
  <c r="AV15" i="3"/>
  <c r="AU15" i="3"/>
  <c r="AM15" i="3"/>
  <c r="AE15" i="3"/>
  <c r="W15" i="3"/>
  <c r="O15" i="3"/>
  <c r="K15" i="3"/>
  <c r="BE14" i="3"/>
  <c r="AW14" i="3"/>
  <c r="AV14" i="3"/>
  <c r="AM14" i="3"/>
  <c r="AE14" i="3"/>
  <c r="W14" i="3"/>
  <c r="O14" i="3"/>
  <c r="K14" i="3"/>
  <c r="BE13" i="3"/>
  <c r="AW13" i="3"/>
  <c r="AV13" i="3"/>
  <c r="AU13" i="3"/>
  <c r="AM13" i="3"/>
  <c r="AE13" i="3"/>
  <c r="W13" i="3"/>
  <c r="O13" i="3"/>
  <c r="K13" i="3"/>
  <c r="BE12" i="3"/>
  <c r="AW12" i="3"/>
  <c r="AV12" i="3"/>
  <c r="AU12" i="3"/>
  <c r="AM12" i="3"/>
  <c r="AE12" i="3"/>
  <c r="W12" i="3"/>
  <c r="O12" i="3"/>
  <c r="K12" i="3"/>
  <c r="BE11" i="3"/>
  <c r="AW11" i="3"/>
  <c r="AV11" i="3"/>
  <c r="AU11" i="3"/>
  <c r="AM11" i="3"/>
  <c r="AE11" i="3"/>
  <c r="W11" i="3"/>
  <c r="O11" i="3"/>
  <c r="K11" i="3"/>
  <c r="BE10" i="3"/>
  <c r="AW10" i="3"/>
  <c r="AV10" i="3"/>
  <c r="AU10" i="3"/>
  <c r="AM10" i="3"/>
  <c r="AE10" i="3"/>
  <c r="W10" i="3"/>
  <c r="O10" i="3"/>
  <c r="K10" i="3"/>
  <c r="AZ57" i="4" l="1"/>
  <c r="AW35" i="3"/>
  <c r="AV38" i="3"/>
  <c r="AZ28" i="4"/>
  <c r="AZ29" i="4"/>
  <c r="AZ30" i="4"/>
  <c r="AZ31" i="4"/>
  <c r="AZ32" i="4"/>
  <c r="AZ56" i="4"/>
  <c r="AZ55" i="4"/>
  <c r="AZ17" i="4"/>
  <c r="AZ54" i="4"/>
  <c r="AZ53" i="4"/>
  <c r="AZ33" i="4"/>
  <c r="AZ12" i="4"/>
  <c r="AZ24" i="4"/>
  <c r="AZ11" i="4"/>
  <c r="AZ18" i="4"/>
  <c r="AZ19" i="4"/>
  <c r="AZ20" i="4"/>
  <c r="AZ21" i="4"/>
  <c r="AZ22" i="4"/>
  <c r="AZ23" i="4"/>
  <c r="AZ13" i="4"/>
  <c r="AZ14" i="4"/>
  <c r="AZ15" i="4"/>
  <c r="AZ16" i="4"/>
  <c r="AZ35" i="4"/>
  <c r="AZ42" i="4"/>
  <c r="AZ25" i="4"/>
  <c r="AZ26" i="4"/>
  <c r="AZ27" i="4"/>
  <c r="AZ34" i="4"/>
  <c r="AV35" i="3"/>
  <c r="AW38" i="3"/>
  <c r="J39" i="3"/>
  <c r="AZ10" i="4"/>
  <c r="U39" i="3"/>
</calcChain>
</file>

<file path=xl/sharedStrings.xml><?xml version="1.0" encoding="utf-8"?>
<sst xmlns="http://schemas.openxmlformats.org/spreadsheetml/2006/main" count="2950" uniqueCount="168">
  <si>
    <t>FORMATO CUADRO DE TURNOS</t>
  </si>
  <si>
    <t>APLICA PARA</t>
  </si>
  <si>
    <t>Cuadro de turnos enfermeros</t>
  </si>
  <si>
    <t>Servicio</t>
  </si>
  <si>
    <t>UCI UCIN</t>
  </si>
  <si>
    <t>Mes al que Corresponde</t>
  </si>
  <si>
    <t>No</t>
  </si>
  <si>
    <t>Nombre Completo</t>
  </si>
  <si>
    <t>Numero de Documento</t>
  </si>
  <si>
    <t>Semana 0</t>
  </si>
  <si>
    <t>HS</t>
  </si>
  <si>
    <t>Semana 1</t>
  </si>
  <si>
    <t>Semana 2</t>
  </si>
  <si>
    <t>Semana 3</t>
  </si>
  <si>
    <t>Semana 5</t>
  </si>
  <si>
    <t>Sábado</t>
  </si>
  <si>
    <t>Domingo</t>
  </si>
  <si>
    <t>Semana 4</t>
  </si>
  <si>
    <t>L</t>
  </si>
  <si>
    <t>M</t>
  </si>
  <si>
    <t>J</t>
  </si>
  <si>
    <t>V</t>
  </si>
  <si>
    <t>S</t>
  </si>
  <si>
    <t>D</t>
  </si>
  <si>
    <t>ANDREA FERNANDA RIASCOS RAMIREZ</t>
  </si>
  <si>
    <t>N8</t>
  </si>
  <si>
    <t>N</t>
  </si>
  <si>
    <t>T8</t>
  </si>
  <si>
    <t>CLAUDIA LORENA MUETE VASCO</t>
  </si>
  <si>
    <t>M8</t>
  </si>
  <si>
    <t>JANASY CAMPO GARCIA</t>
  </si>
  <si>
    <t>JULIETA MARITZA CHICANGANA OSORIO</t>
  </si>
  <si>
    <t>SELENA GISSELE DORIA LEÓN</t>
  </si>
  <si>
    <t>CATHERINE MELO VARELA</t>
  </si>
  <si>
    <t>FLOR JENY YARPAZ MENECES</t>
  </si>
  <si>
    <t>SUSSEL DANIELA TAMAYO</t>
  </si>
  <si>
    <t>DF</t>
  </si>
  <si>
    <t>STEPHANY MENDEZ MURILLO</t>
  </si>
  <si>
    <t>LAURA VICTORIA JARAMILLO CALDAS</t>
  </si>
  <si>
    <t>CINDI PAOLA RIVERA</t>
  </si>
  <si>
    <t>JEISON BONILLA</t>
  </si>
  <si>
    <t>INC</t>
  </si>
  <si>
    <t>LEIDY JOHANNA MAÑOZCA</t>
  </si>
  <si>
    <t>LAURA SOFÍA BEDOYA MURILLO</t>
  </si>
  <si>
    <t>YESICA DUQUE CORREA</t>
  </si>
  <si>
    <t>ABIGAYL CARDONA GARCIA</t>
  </si>
  <si>
    <t>LIC</t>
  </si>
  <si>
    <t>MILDRED XIOMARA MEDINA GONZALEZ</t>
  </si>
  <si>
    <t>SUS</t>
  </si>
  <si>
    <t xml:space="preserve">JULIAN CAMILO MOLINA ÑAÑEZ </t>
  </si>
  <si>
    <t>PAULA ANDREA SILVA GOMEZ</t>
  </si>
  <si>
    <t>DIANA FERNANDA GARCIA CRUZ</t>
  </si>
  <si>
    <t>BRIANDA ALACIRA DIAZ RODRIGUEZ</t>
  </si>
  <si>
    <t>Nin</t>
  </si>
  <si>
    <t>Din</t>
  </si>
  <si>
    <t>M8in</t>
  </si>
  <si>
    <t>Total personal día</t>
  </si>
  <si>
    <t>Total personal mañana M8</t>
  </si>
  <si>
    <t>Total personal tarde T8</t>
  </si>
  <si>
    <t>Total personal noche</t>
  </si>
  <si>
    <t>Personal N8</t>
  </si>
  <si>
    <t>Nota: El presente cuadro de turnos esta sujeto a cambios según la disponibilidad del servicio</t>
  </si>
  <si>
    <t>Convenciones y asignaciones</t>
  </si>
  <si>
    <t>Dia festivo</t>
  </si>
  <si>
    <t>Turnos 12 hrs Dia</t>
  </si>
  <si>
    <t>Turnos 12 hrs Noche</t>
  </si>
  <si>
    <t>Mañana (Turnos 8 hrs) 6:00 am - 14:00hras</t>
  </si>
  <si>
    <t>Tarde (Turnos 8 hrs) 14:00 - 22:00hras</t>
  </si>
  <si>
    <t>Noche (Turnos 8 hrs)  22:00 - 6:00am</t>
  </si>
  <si>
    <t>D1</t>
  </si>
  <si>
    <t>Turnos 11 hrs Dia</t>
  </si>
  <si>
    <t>N1</t>
  </si>
  <si>
    <t>Turnos 11 hrs Noche</t>
  </si>
  <si>
    <t>M2</t>
  </si>
  <si>
    <t>Turno 2 hrs Dia, ingreso 7:00 salida 9:00</t>
  </si>
  <si>
    <t>DA</t>
  </si>
  <si>
    <t xml:space="preserve">Dia Adminitrativo </t>
  </si>
  <si>
    <t>Mañana (Turnos 6 hrs) 7:00 - 13:00</t>
  </si>
  <si>
    <t>T</t>
  </si>
  <si>
    <t>Tarde (Turnos 6 hrs) 13:00 - 19:00</t>
  </si>
  <si>
    <t>Dia Libre</t>
  </si>
  <si>
    <t>Vacaciones</t>
  </si>
  <si>
    <t>Dia de la Familia</t>
  </si>
  <si>
    <t>Incapacidad</t>
  </si>
  <si>
    <t>INJ</t>
  </si>
  <si>
    <t>Inasistencia No Justificada</t>
  </si>
  <si>
    <t>Licencia/Permiso no Remunerado</t>
  </si>
  <si>
    <t>CAL</t>
  </si>
  <si>
    <t>Calamidad</t>
  </si>
  <si>
    <t>RD</t>
  </si>
  <si>
    <t>Renuncia/Despido</t>
  </si>
  <si>
    <t>Suspendido</t>
  </si>
  <si>
    <t>D/M</t>
  </si>
  <si>
    <t>Hace la mañana, jornada de la tarde libre por votacion</t>
  </si>
  <si>
    <t>D/T</t>
  </si>
  <si>
    <t>Hace la tarde, jornada de la mañanalibre por votacion</t>
  </si>
  <si>
    <t>T8/M</t>
  </si>
  <si>
    <t>Hace de 2 pm a 6pm, jornada de 6pm a 10pm libre por votacion</t>
  </si>
  <si>
    <t>CÓDIGO: SB-GSA-F-139</t>
  </si>
  <si>
    <t>VERSIÓN: 01</t>
  </si>
  <si>
    <t>VIGENCIA: 26-Feb-2024</t>
  </si>
  <si>
    <t xml:space="preserve">Cuadro de turnos auxiliares de enfermeria  </t>
  </si>
  <si>
    <t>ANA MARIA VELASCO LENIS</t>
  </si>
  <si>
    <t>D2</t>
  </si>
  <si>
    <t>MARIA MARLEY VELASCO CHAVEZ</t>
  </si>
  <si>
    <t>CLAUDIA ESPERANZA PLAZA MENESES</t>
  </si>
  <si>
    <t>KAREN JULIETH RAMIREZ TRUJILLO</t>
  </si>
  <si>
    <t>LINA MARIA ESCOBAR</t>
  </si>
  <si>
    <t>LUISA FERNANDA DEVIA CASTAÑEDA</t>
  </si>
  <si>
    <t>MAIRA MERA MURCIA</t>
  </si>
  <si>
    <t>ANA SOFIA SOLARTE GIRALDO</t>
  </si>
  <si>
    <t>NICOLL CARMONA</t>
  </si>
  <si>
    <t>ROSA MARIA APARICIO ANDRADE</t>
  </si>
  <si>
    <t>WILLIAM ANDRES RAMIREZ SALAZAR</t>
  </si>
  <si>
    <t>YURY VIVIANA MOLINA ESCOBAR</t>
  </si>
  <si>
    <t>YAMILETH ANGULO LASSO</t>
  </si>
  <si>
    <t>MARIA FERNANDA QUIÑONEZ SAPE</t>
  </si>
  <si>
    <t>CRISTIAN JULIAN GONZALEZ VERGARA</t>
  </si>
  <si>
    <t>CAROLIN JULIANA CASTAÑO MELO</t>
  </si>
  <si>
    <t>GIULIETTE PAOLA BOLAÑOS</t>
  </si>
  <si>
    <t>VICTOR GARCIA</t>
  </si>
  <si>
    <t>LEIDY TATIANA MORALES</t>
  </si>
  <si>
    <t>MAYRA ALEJANDRA PEÑA PATIÑO</t>
  </si>
  <si>
    <t>LEIDY CAROLINA ROJAS GAVIRIA</t>
  </si>
  <si>
    <t>ANGY SANTACRUZ</t>
  </si>
  <si>
    <t>WENDY DAYANA QUINTERO GRACIANO</t>
  </si>
  <si>
    <t>DIANA MARCELA RODRIGUEZ LONDOÑO</t>
  </si>
  <si>
    <t>NIMI JOHANNA MORENO VILBAO</t>
  </si>
  <si>
    <t>MAYERLI MOSQUERA IBARGUEN</t>
  </si>
  <si>
    <t>BRANDON CHAMORRO MORENO</t>
  </si>
  <si>
    <t>N2</t>
  </si>
  <si>
    <t>DILAN MONTOYA</t>
  </si>
  <si>
    <t xml:space="preserve">EDGAR HELADIO VALENCIA GUZMAN </t>
  </si>
  <si>
    <t>JOHAN ALEJANDRO RIOS URBANO</t>
  </si>
  <si>
    <t>JUAN MANUEL GOMEZ ENRIQUEZ</t>
  </si>
  <si>
    <t>D3</t>
  </si>
  <si>
    <t>VALERI NICOL VASQUEZ GOMEZ</t>
  </si>
  <si>
    <t>THAMAR ESTRELLA MENA RODRIGUEZ</t>
  </si>
  <si>
    <t xml:space="preserve">JOHANNA ANDREA REY MEJÍA </t>
  </si>
  <si>
    <t>SANTIAGO MONTENEGRO ERAZO</t>
  </si>
  <si>
    <t>DANIEL FELIPE GOMEZ</t>
  </si>
  <si>
    <t xml:space="preserve">XIMENA DEL PILAR BECERRA SALAZAR </t>
  </si>
  <si>
    <t xml:space="preserve">JULIAN ANDRES CUELLAR BASANTE </t>
  </si>
  <si>
    <t>ANA SOFIA ARANA GARAVITO</t>
  </si>
  <si>
    <t xml:space="preserve">SARA CARVAJAL CARVAJAL </t>
  </si>
  <si>
    <t>MERLY LORENA LASPRILLA LASSO</t>
  </si>
  <si>
    <t xml:space="preserve">ISABELLA REYES MARTINEZ </t>
  </si>
  <si>
    <t xml:space="preserve">MARIA CAMILA IBARRA PINTO </t>
  </si>
  <si>
    <t>SINNDY ELIANA BUSTOS SILVA (practicante) con william</t>
  </si>
  <si>
    <t>JERALDIN OROBIO MANZANO (practicante) con Nicol</t>
  </si>
  <si>
    <t>ANYI JULIETH RUALES ALADINO</t>
  </si>
  <si>
    <t>Turnos 12 hrs dia efectiva, y se compensa 1 hora con el turno DE</t>
  </si>
  <si>
    <t>DE</t>
  </si>
  <si>
    <t>Dia de capacitación, pago de 8 horas educacion y de 4 horas de disminucion de la jornada laboral</t>
  </si>
  <si>
    <t>Turnos 12 hrs Dia-Inducción</t>
  </si>
  <si>
    <t>DN</t>
  </si>
  <si>
    <t>TN</t>
  </si>
  <si>
    <t>NM</t>
  </si>
  <si>
    <t>LEIDY MARIAN RODRIGUEZ SIERRA</t>
  </si>
  <si>
    <t>N8in</t>
  </si>
  <si>
    <t>CATHERINE MELO CORAL</t>
  </si>
  <si>
    <t>MARIANA REYES GUZMAN (practicante)</t>
  </si>
  <si>
    <r>
      <rPr>
        <sz val="10"/>
        <color rgb="FF000000"/>
        <rFont val="Calibri"/>
        <family val="2"/>
      </rPr>
      <t xml:space="preserve">Turnos 24 hrs, </t>
    </r>
    <r>
      <rPr>
        <b/>
        <sz val="10"/>
        <color rgb="FF000000"/>
        <rFont val="Calibri"/>
        <family val="2"/>
      </rPr>
      <t>solo por necesidad del servicio</t>
    </r>
  </si>
  <si>
    <r>
      <rPr>
        <sz val="10"/>
        <color rgb="FF000000"/>
        <rFont val="Calibri"/>
        <family val="2"/>
      </rPr>
      <t xml:space="preserve">Turno 18 Hrs, ingresa a las 13:00 y sale a las 7:00, </t>
    </r>
    <r>
      <rPr>
        <b/>
        <sz val="10"/>
        <color rgb="FF000000"/>
        <rFont val="Calibri"/>
        <family val="2"/>
      </rPr>
      <t>solo por necesidad del servicio</t>
    </r>
  </si>
  <si>
    <r>
      <rPr>
        <sz val="10"/>
        <color rgb="FF000000"/>
        <rFont val="Calibri"/>
        <family val="2"/>
      </rPr>
      <t>Turno 18 Hrs, ingresa a las 19:00 y sale a las 13:00,</t>
    </r>
    <r>
      <rPr>
        <b/>
        <sz val="10"/>
        <color rgb="FF000000"/>
        <rFont val="Calibri"/>
        <family val="2"/>
      </rPr>
      <t xml:space="preserve"> solo por necesidad del servicio</t>
    </r>
  </si>
  <si>
    <t>Horas</t>
  </si>
  <si>
    <t>Sigla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</si>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</sst>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10"/>
      <color theme="1"/>
      <name val="Calibri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rgb="FFFFFFFF"/>
      <name val="Calibri"/>
      <family val="2"/>
    </font>
    <font>
      <sz val="9"/>
      <color theme="1"/>
      <name val="Calibri"/>
      <family val="2"/>
    </font>
    <font>
      <b/>
      <sz val="8"/>
      <color rgb="FF000000"/>
      <name val="Arial"/>
      <family val="2"/>
    </font>
    <font>
      <sz val="9"/>
      <color rgb="FF000000"/>
      <name val="Calibri"/>
      <family val="2"/>
    </font>
    <font>
      <sz val="9"/>
      <color rgb="FFFFFFFF"/>
      <name val="Calibri"/>
      <family val="2"/>
    </font>
    <font>
      <sz val="7"/>
      <color rgb="FF000000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sz val="9"/>
      <color rgb="FF222222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9"/>
      <color theme="1"/>
      <name val="Arial"/>
      <family val="2"/>
    </font>
    <font>
      <b/>
      <sz val="10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3399"/>
        <bgColor rgb="FF003399"/>
      </patternFill>
    </fill>
    <fill>
      <patternFill patternType="solid">
        <fgColor rgb="FF8EA9DB"/>
        <bgColor rgb="FF8EA9DB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C5E0B3"/>
        <bgColor rgb="FFC5E0B3"/>
      </patternFill>
    </fill>
    <fill>
      <patternFill patternType="solid">
        <fgColor rgb="FF7030A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003399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theme="5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C5E0B3"/>
      </patternFill>
    </fill>
  </fills>
  <borders count="9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81">
    <xf numFmtId="0" fontId="0" fillId="0" borderId="0" xfId="0"/>
    <xf numFmtId="0" fontId="8" fillId="3" borderId="25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wrapText="1"/>
    </xf>
    <xf numFmtId="0" fontId="12" fillId="6" borderId="32" xfId="0" applyFont="1" applyFill="1" applyBorder="1" applyAlignment="1">
      <alignment horizont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1" fontId="13" fillId="3" borderId="34" xfId="0" applyNumberFormat="1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 wrapText="1"/>
    </xf>
    <xf numFmtId="0" fontId="12" fillId="6" borderId="35" xfId="0" applyFont="1" applyFill="1" applyBorder="1" applyAlignment="1">
      <alignment horizontal="center" vertical="center" wrapText="1"/>
    </xf>
    <xf numFmtId="0" fontId="11" fillId="6" borderId="35" xfId="0" applyFont="1" applyFill="1" applyBorder="1" applyAlignment="1">
      <alignment horizontal="center" vertical="center"/>
    </xf>
    <xf numFmtId="1" fontId="13" fillId="3" borderId="37" xfId="0" applyNumberFormat="1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wrapText="1"/>
    </xf>
    <xf numFmtId="0" fontId="12" fillId="6" borderId="36" xfId="0" applyFont="1" applyFill="1" applyBorder="1" applyAlignment="1">
      <alignment horizontal="center" wrapText="1"/>
    </xf>
    <xf numFmtId="0" fontId="12" fillId="6" borderId="25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wrapText="1"/>
    </xf>
    <xf numFmtId="0" fontId="11" fillId="6" borderId="25" xfId="0" applyFont="1" applyFill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12" fillId="6" borderId="43" xfId="0" applyFont="1" applyFill="1" applyBorder="1" applyAlignment="1">
      <alignment horizontal="center" vertical="center" wrapText="1"/>
    </xf>
    <xf numFmtId="0" fontId="12" fillId="6" borderId="44" xfId="0" applyFont="1" applyFill="1" applyBorder="1" applyAlignment="1">
      <alignment horizontal="center" vertical="center" wrapText="1"/>
    </xf>
    <xf numFmtId="1" fontId="13" fillId="3" borderId="36" xfId="0" applyNumberFormat="1" applyFont="1" applyFill="1" applyBorder="1" applyAlignment="1">
      <alignment horizontal="center" vertical="center" wrapText="1"/>
    </xf>
    <xf numFmtId="0" fontId="12" fillId="6" borderId="45" xfId="0" applyFont="1" applyFill="1" applyBorder="1" applyAlignment="1">
      <alignment horizontal="center" vertical="center" wrapText="1"/>
    </xf>
    <xf numFmtId="1" fontId="13" fillId="3" borderId="46" xfId="0" applyNumberFormat="1" applyFont="1" applyFill="1" applyBorder="1" applyAlignment="1">
      <alignment horizontal="center" vertical="center" wrapText="1"/>
    </xf>
    <xf numFmtId="0" fontId="12" fillId="7" borderId="42" xfId="0" applyFont="1" applyFill="1" applyBorder="1" applyAlignment="1">
      <alignment horizontal="center" wrapText="1"/>
    </xf>
    <xf numFmtId="0" fontId="15" fillId="6" borderId="35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164" fontId="12" fillId="6" borderId="42" xfId="0" applyNumberFormat="1" applyFont="1" applyFill="1" applyBorder="1" applyAlignment="1">
      <alignment horizontal="center" vertical="center" wrapText="1"/>
    </xf>
    <xf numFmtId="164" fontId="12" fillId="6" borderId="25" xfId="0" applyNumberFormat="1" applyFont="1" applyFill="1" applyBorder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vertical="center" wrapText="1"/>
    </xf>
    <xf numFmtId="164" fontId="12" fillId="0" borderId="31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164" fontId="12" fillId="0" borderId="51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6" borderId="53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1" fontId="13" fillId="3" borderId="5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53" xfId="0" applyFont="1" applyFill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18" fillId="0" borderId="3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18" fillId="6" borderId="53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8" fillId="0" borderId="27" xfId="0" applyFont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 wrapText="1"/>
    </xf>
    <xf numFmtId="1" fontId="21" fillId="6" borderId="53" xfId="0" applyNumberFormat="1" applyFont="1" applyFill="1" applyBorder="1" applyAlignment="1">
      <alignment horizontal="center" vertical="center" wrapText="1"/>
    </xf>
    <xf numFmtId="1" fontId="13" fillId="6" borderId="53" xfId="0" applyNumberFormat="1" applyFont="1" applyFill="1" applyBorder="1" applyAlignment="1">
      <alignment horizontal="center" vertical="center" wrapText="1"/>
    </xf>
    <xf numFmtId="0" fontId="22" fillId="6" borderId="53" xfId="0" applyFont="1" applyFill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0" fontId="4" fillId="6" borderId="68" xfId="0" applyFont="1" applyFill="1" applyBorder="1" applyAlignment="1">
      <alignment horizontal="center" vertical="center" wrapText="1"/>
    </xf>
    <xf numFmtId="0" fontId="8" fillId="6" borderId="53" xfId="0" applyFont="1" applyFill="1" applyBorder="1" applyAlignment="1">
      <alignment horizontal="center" vertical="center" wrapText="1"/>
    </xf>
    <xf numFmtId="0" fontId="18" fillId="6" borderId="53" xfId="0" applyFont="1" applyFill="1" applyBorder="1" applyAlignment="1">
      <alignment horizontal="center" vertical="center" wrapText="1"/>
    </xf>
    <xf numFmtId="0" fontId="11" fillId="6" borderId="53" xfId="0" applyFont="1" applyFill="1" applyBorder="1" applyAlignment="1">
      <alignment horizontal="center" wrapText="1"/>
    </xf>
    <xf numFmtId="0" fontId="24" fillId="6" borderId="53" xfId="0" applyFont="1" applyFill="1" applyBorder="1" applyAlignment="1">
      <alignment horizontal="center" wrapText="1"/>
    </xf>
    <xf numFmtId="1" fontId="25" fillId="6" borderId="53" xfId="0" applyNumberFormat="1" applyFont="1" applyFill="1" applyBorder="1" applyAlignment="1">
      <alignment horizontal="center" vertical="center" wrapText="1"/>
    </xf>
    <xf numFmtId="0" fontId="22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wrapText="1"/>
    </xf>
    <xf numFmtId="0" fontId="15" fillId="4" borderId="35" xfId="0" applyFont="1" applyFill="1" applyBorder="1" applyAlignment="1">
      <alignment horizontal="center" vertical="center" wrapText="1"/>
    </xf>
    <xf numFmtId="0" fontId="18" fillId="6" borderId="35" xfId="0" applyFont="1" applyFill="1" applyBorder="1" applyAlignment="1">
      <alignment horizontal="center" vertical="center" wrapText="1"/>
    </xf>
    <xf numFmtId="1" fontId="21" fillId="3" borderId="37" xfId="0" applyNumberFormat="1" applyFont="1" applyFill="1" applyBorder="1" applyAlignment="1">
      <alignment horizontal="center" vertical="center" wrapText="1"/>
    </xf>
    <xf numFmtId="0" fontId="11" fillId="6" borderId="53" xfId="0" applyFont="1" applyFill="1" applyBorder="1" applyAlignment="1">
      <alignment horizontal="center"/>
    </xf>
    <xf numFmtId="0" fontId="22" fillId="6" borderId="53" xfId="0" applyFont="1" applyFill="1" applyBorder="1" applyAlignment="1">
      <alignment horizontal="center"/>
    </xf>
    <xf numFmtId="0" fontId="27" fillId="6" borderId="53" xfId="0" applyFont="1" applyFill="1" applyBorder="1" applyAlignment="1">
      <alignment horizontal="center" vertical="center" wrapText="1"/>
    </xf>
    <xf numFmtId="0" fontId="24" fillId="6" borderId="53" xfId="0" applyFont="1" applyFill="1" applyBorder="1" applyAlignment="1">
      <alignment horizontal="center"/>
    </xf>
    <xf numFmtId="0" fontId="22" fillId="6" borderId="53" xfId="0" applyFont="1" applyFill="1" applyBorder="1" applyAlignment="1">
      <alignment horizontal="center" wrapText="1"/>
    </xf>
    <xf numFmtId="164" fontId="15" fillId="6" borderId="53" xfId="0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0" fillId="0" borderId="15" xfId="0" applyFont="1" applyBorder="1"/>
    <xf numFmtId="0" fontId="24" fillId="6" borderId="31" xfId="0" applyFont="1" applyFill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wrapText="1"/>
    </xf>
    <xf numFmtId="0" fontId="24" fillId="7" borderId="25" xfId="0" applyFont="1" applyFill="1" applyBorder="1" applyAlignment="1">
      <alignment horizontal="center" wrapText="1"/>
    </xf>
    <xf numFmtId="0" fontId="22" fillId="6" borderId="25" xfId="0" applyFont="1" applyFill="1" applyBorder="1" applyAlignment="1">
      <alignment horizontal="center" vertical="center" wrapText="1"/>
    </xf>
    <xf numFmtId="1" fontId="25" fillId="3" borderId="32" xfId="0" applyNumberFormat="1" applyFont="1" applyFill="1" applyBorder="1" applyAlignment="1">
      <alignment horizontal="center" vertical="center" wrapText="1"/>
    </xf>
    <xf numFmtId="0" fontId="22" fillId="7" borderId="25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2" fillId="6" borderId="29" xfId="0" applyFont="1" applyFill="1" applyBorder="1" applyAlignment="1">
      <alignment horizontal="center" vertical="center" wrapText="1"/>
    </xf>
    <xf numFmtId="1" fontId="25" fillId="3" borderId="34" xfId="0" applyNumberFormat="1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1" fontId="25" fillId="3" borderId="37" xfId="0" applyNumberFormat="1" applyFont="1" applyFill="1" applyBorder="1" applyAlignment="1">
      <alignment horizontal="center" vertical="center" wrapText="1"/>
    </xf>
    <xf numFmtId="0" fontId="22" fillId="8" borderId="25" xfId="0" applyFont="1" applyFill="1" applyBorder="1" applyAlignment="1">
      <alignment horizontal="center" vertical="center" wrapText="1"/>
    </xf>
    <xf numFmtId="0" fontId="22" fillId="10" borderId="25" xfId="0" applyFont="1" applyFill="1" applyBorder="1" applyAlignment="1">
      <alignment horizontal="center" vertical="center" wrapText="1"/>
    </xf>
    <xf numFmtId="0" fontId="22" fillId="6" borderId="42" xfId="0" applyFont="1" applyFill="1" applyBorder="1" applyAlignment="1">
      <alignment horizontal="center" vertical="center" wrapText="1"/>
    </xf>
    <xf numFmtId="1" fontId="25" fillId="3" borderId="90" xfId="0" applyNumberFormat="1" applyFont="1" applyFill="1" applyBorder="1" applyAlignment="1">
      <alignment horizontal="center" vertical="center" wrapText="1"/>
    </xf>
    <xf numFmtId="0" fontId="22" fillId="9" borderId="25" xfId="0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horizontal="center" vertical="center"/>
    </xf>
    <xf numFmtId="0" fontId="22" fillId="6" borderId="40" xfId="0" applyFont="1" applyFill="1" applyBorder="1" applyAlignment="1">
      <alignment horizontal="center" vertical="center" wrapText="1"/>
    </xf>
    <xf numFmtId="0" fontId="22" fillId="6" borderId="91" xfId="0" applyFont="1" applyFill="1" applyBorder="1" applyAlignment="1">
      <alignment horizontal="center" vertical="center" wrapText="1"/>
    </xf>
    <xf numFmtId="0" fontId="22" fillId="12" borderId="25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2" fillId="13" borderId="25" xfId="0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 wrapText="1"/>
    </xf>
    <xf numFmtId="0" fontId="25" fillId="3" borderId="29" xfId="0" applyFont="1" applyFill="1" applyBorder="1" applyAlignment="1">
      <alignment horizontal="center" vertical="center" wrapText="1"/>
    </xf>
    <xf numFmtId="0" fontId="22" fillId="14" borderId="25" xfId="0" applyFont="1" applyFill="1" applyBorder="1" applyAlignment="1">
      <alignment horizontal="center" vertical="center" wrapText="1"/>
    </xf>
    <xf numFmtId="0" fontId="22" fillId="6" borderId="44" xfId="0" applyFont="1" applyFill="1" applyBorder="1" applyAlignment="1">
      <alignment horizontal="center" vertical="center" wrapText="1"/>
    </xf>
    <xf numFmtId="0" fontId="22" fillId="6" borderId="42" xfId="0" applyFont="1" applyFill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center" vertical="center" wrapText="1"/>
    </xf>
    <xf numFmtId="0" fontId="24" fillId="6" borderId="29" xfId="0" applyFont="1" applyFill="1" applyBorder="1" applyAlignment="1">
      <alignment horizontal="center" wrapText="1"/>
    </xf>
    <xf numFmtId="0" fontId="24" fillId="7" borderId="29" xfId="0" applyFont="1" applyFill="1" applyBorder="1" applyAlignment="1">
      <alignment horizontal="center" wrapText="1"/>
    </xf>
    <xf numFmtId="0" fontId="22" fillId="6" borderId="35" xfId="0" applyFont="1" applyFill="1" applyBorder="1" applyAlignment="1">
      <alignment horizontal="center" vertical="center" wrapText="1"/>
    </xf>
    <xf numFmtId="0" fontId="24" fillId="6" borderId="38" xfId="0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horizontal="center" wrapText="1"/>
    </xf>
    <xf numFmtId="0" fontId="22" fillId="0" borderId="25" xfId="0" applyFont="1" applyBorder="1" applyAlignment="1">
      <alignment horizontal="center" wrapText="1"/>
    </xf>
    <xf numFmtId="0" fontId="24" fillId="6" borderId="42" xfId="0" applyFont="1" applyFill="1" applyBorder="1" applyAlignment="1">
      <alignment horizontal="center" wrapText="1"/>
    </xf>
    <xf numFmtId="0" fontId="24" fillId="0" borderId="28" xfId="0" applyFont="1" applyBorder="1" applyAlignment="1">
      <alignment horizontal="center" wrapText="1"/>
    </xf>
    <xf numFmtId="0" fontId="15" fillId="6" borderId="25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24" fillId="0" borderId="92" xfId="0" applyFont="1" applyBorder="1" applyAlignment="1">
      <alignment horizontal="center"/>
    </xf>
    <xf numFmtId="1" fontId="25" fillId="3" borderId="93" xfId="0" applyNumberFormat="1" applyFont="1" applyFill="1" applyBorder="1" applyAlignment="1">
      <alignment horizontal="center" vertical="center" wrapText="1"/>
    </xf>
    <xf numFmtId="0" fontId="29" fillId="6" borderId="25" xfId="0" applyFont="1" applyFill="1" applyBorder="1" applyAlignment="1">
      <alignment horizontal="center" wrapText="1"/>
    </xf>
    <xf numFmtId="0" fontId="22" fillId="7" borderId="25" xfId="0" applyFont="1" applyFill="1" applyBorder="1" applyAlignment="1">
      <alignment horizontal="center" wrapText="1"/>
    </xf>
    <xf numFmtId="1" fontId="25" fillId="6" borderId="32" xfId="0" applyNumberFormat="1" applyFont="1" applyFill="1" applyBorder="1" applyAlignment="1">
      <alignment horizontal="center" vertical="center" wrapText="1"/>
    </xf>
    <xf numFmtId="0" fontId="15" fillId="9" borderId="35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32" xfId="0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wrapText="1"/>
    </xf>
    <xf numFmtId="0" fontId="22" fillId="0" borderId="28" xfId="0" applyFont="1" applyBorder="1" applyAlignment="1">
      <alignment horizontal="center" wrapText="1"/>
    </xf>
    <xf numFmtId="0" fontId="22" fillId="6" borderId="43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wrapText="1"/>
    </xf>
    <xf numFmtId="0" fontId="22" fillId="0" borderId="92" xfId="0" applyFont="1" applyBorder="1" applyAlignment="1">
      <alignment horizontal="center" wrapText="1"/>
    </xf>
    <xf numFmtId="0" fontId="22" fillId="6" borderId="35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 wrapText="1" readingOrder="1"/>
    </xf>
    <xf numFmtId="0" fontId="22" fillId="0" borderId="25" xfId="0" applyFont="1" applyBorder="1" applyAlignment="1">
      <alignment horizontal="center" wrapText="1" readingOrder="1"/>
    </xf>
    <xf numFmtId="0" fontId="22" fillId="0" borderId="24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1" fontId="25" fillId="3" borderId="36" xfId="0" applyNumberFormat="1" applyFont="1" applyFill="1" applyBorder="1" applyAlignment="1">
      <alignment horizontal="center" vertical="center" wrapText="1"/>
    </xf>
    <xf numFmtId="0" fontId="22" fillId="7" borderId="29" xfId="0" applyFont="1" applyFill="1" applyBorder="1" applyAlignment="1">
      <alignment horizontal="center" wrapText="1"/>
    </xf>
    <xf numFmtId="0" fontId="22" fillId="7" borderId="35" xfId="0" applyFont="1" applyFill="1" applyBorder="1" applyAlignment="1">
      <alignment horizontal="center" vertical="center"/>
    </xf>
    <xf numFmtId="1" fontId="25" fillId="7" borderId="32" xfId="0" applyNumberFormat="1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9" fillId="6" borderId="25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vertical="center" wrapText="1"/>
    </xf>
    <xf numFmtId="0" fontId="24" fillId="6" borderId="42" xfId="0" applyFont="1" applyFill="1" applyBorder="1" applyAlignment="1">
      <alignment horizontal="center" vertical="center" wrapText="1"/>
    </xf>
    <xf numFmtId="0" fontId="24" fillId="7" borderId="4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15" fillId="0" borderId="0" xfId="0" applyFont="1" applyAlignment="1">
      <alignment horizontal="center" vertical="center" wrapText="1"/>
    </xf>
    <xf numFmtId="0" fontId="28" fillId="6" borderId="53" xfId="0" applyFont="1" applyFill="1" applyBorder="1" applyAlignment="1">
      <alignment horizontal="center" vertical="center" wrapText="1"/>
    </xf>
    <xf numFmtId="1" fontId="8" fillId="6" borderId="53" xfId="0" applyNumberFormat="1" applyFont="1" applyFill="1" applyBorder="1" applyAlignment="1">
      <alignment horizontal="center" vertical="center" wrapText="1"/>
    </xf>
    <xf numFmtId="0" fontId="18" fillId="6" borderId="31" xfId="0" applyFont="1" applyFill="1" applyBorder="1" applyAlignment="1">
      <alignment horizontal="center" vertical="center" wrapText="1"/>
    </xf>
    <xf numFmtId="0" fontId="30" fillId="6" borderId="25" xfId="0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 wrapText="1"/>
    </xf>
    <xf numFmtId="0" fontId="15" fillId="6" borderId="25" xfId="0" applyFont="1" applyFill="1" applyBorder="1" applyAlignment="1">
      <alignment horizontal="center" vertical="center"/>
    </xf>
    <xf numFmtId="1" fontId="21" fillId="3" borderId="32" xfId="0" applyNumberFormat="1" applyFont="1" applyFill="1" applyBorder="1" applyAlignment="1">
      <alignment horizontal="center" vertical="center" wrapText="1"/>
    </xf>
    <xf numFmtId="0" fontId="15" fillId="6" borderId="42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7" fillId="6" borderId="35" xfId="0" applyFont="1" applyFill="1" applyBorder="1" applyAlignment="1">
      <alignment horizontal="center" vertical="center" wrapText="1"/>
    </xf>
    <xf numFmtId="0" fontId="31" fillId="6" borderId="25" xfId="0" applyFont="1" applyFill="1" applyBorder="1" applyAlignment="1">
      <alignment horizontal="center" vertical="center" wrapText="1"/>
    </xf>
    <xf numFmtId="0" fontId="32" fillId="7" borderId="25" xfId="0" applyFont="1" applyFill="1" applyBorder="1" applyAlignment="1">
      <alignment horizontal="center" wrapText="1"/>
    </xf>
    <xf numFmtId="0" fontId="17" fillId="6" borderId="42" xfId="0" applyFont="1" applyFill="1" applyBorder="1" applyAlignment="1">
      <alignment horizontal="center" vertical="center" wrapText="1"/>
    </xf>
    <xf numFmtId="0" fontId="30" fillId="6" borderId="29" xfId="0" applyFont="1" applyFill="1" applyBorder="1" applyAlignment="1">
      <alignment horizontal="center" vertical="center" wrapText="1"/>
    </xf>
    <xf numFmtId="0" fontId="30" fillId="0" borderId="92" xfId="0" applyFont="1" applyBorder="1" applyAlignment="1">
      <alignment horizontal="center" wrapText="1"/>
    </xf>
    <xf numFmtId="0" fontId="18" fillId="6" borderId="38" xfId="0" applyFont="1" applyFill="1" applyBorder="1" applyAlignment="1">
      <alignment horizontal="center" vertical="center" wrapText="1"/>
    </xf>
    <xf numFmtId="0" fontId="31" fillId="7" borderId="25" xfId="0" applyFont="1" applyFill="1" applyBorder="1" applyAlignment="1">
      <alignment horizontal="center" vertical="center" wrapText="1"/>
    </xf>
    <xf numFmtId="0" fontId="30" fillId="7" borderId="25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0" fontId="17" fillId="7" borderId="35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164" fontId="12" fillId="0" borderId="25" xfId="0" applyNumberFormat="1" applyFont="1" applyBorder="1" applyAlignment="1">
      <alignment horizontal="center" vertical="center" wrapText="1"/>
    </xf>
    <xf numFmtId="164" fontId="12" fillId="7" borderId="25" xfId="0" applyNumberFormat="1" applyFont="1" applyFill="1" applyBorder="1" applyAlignment="1">
      <alignment horizontal="center" vertical="center" wrapText="1"/>
    </xf>
    <xf numFmtId="0" fontId="4" fillId="6" borderId="70" xfId="0" applyFont="1" applyFill="1" applyBorder="1" applyAlignment="1">
      <alignment horizontal="center" vertical="center" wrapText="1"/>
    </xf>
    <xf numFmtId="0" fontId="4" fillId="6" borderId="7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73" xfId="0" applyFont="1" applyFill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3" fillId="0" borderId="62" xfId="0" applyFont="1" applyBorder="1"/>
    <xf numFmtId="0" fontId="33" fillId="16" borderId="94" xfId="0" applyFont="1" applyFill="1" applyBorder="1" applyAlignment="1">
      <alignment horizontal="center" vertical="center" wrapText="1"/>
    </xf>
    <xf numFmtId="1" fontId="13" fillId="3" borderId="93" xfId="0" applyNumberFormat="1" applyFont="1" applyFill="1" applyBorder="1" applyAlignment="1">
      <alignment horizontal="center" vertical="center" wrapText="1"/>
    </xf>
    <xf numFmtId="1" fontId="13" fillId="3" borderId="61" xfId="0" applyNumberFormat="1" applyFont="1" applyFill="1" applyBorder="1" applyAlignment="1">
      <alignment horizontal="center" vertical="center" wrapText="1"/>
    </xf>
    <xf numFmtId="0" fontId="33" fillId="15" borderId="95" xfId="0" applyFont="1" applyFill="1" applyBorder="1" applyAlignment="1">
      <alignment horizontal="center" vertical="center" wrapText="1"/>
    </xf>
    <xf numFmtId="0" fontId="33" fillId="16" borderId="95" xfId="0" applyFont="1" applyFill="1" applyBorder="1" applyAlignment="1">
      <alignment horizontal="center" vertical="center" wrapText="1"/>
    </xf>
    <xf numFmtId="0" fontId="33" fillId="15" borderId="94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vertical="center" wrapText="1"/>
    </xf>
    <xf numFmtId="1" fontId="25" fillId="3" borderId="61" xfId="0" applyNumberFormat="1" applyFont="1" applyFill="1" applyBorder="1" applyAlignment="1">
      <alignment horizontal="center" vertical="center" wrapText="1"/>
    </xf>
    <xf numFmtId="0" fontId="25" fillId="3" borderId="35" xfId="0" applyFont="1" applyFill="1" applyBorder="1" applyAlignment="1">
      <alignment horizontal="center" vertical="center" wrapText="1"/>
    </xf>
    <xf numFmtId="1" fontId="25" fillId="3" borderId="62" xfId="0" applyNumberFormat="1" applyFont="1" applyFill="1" applyBorder="1" applyAlignment="1">
      <alignment horizontal="center" vertical="center" wrapText="1"/>
    </xf>
    <xf numFmtId="1" fontId="25" fillId="3" borderId="52" xfId="0" applyNumberFormat="1" applyFont="1" applyFill="1" applyBorder="1" applyAlignment="1">
      <alignment horizontal="center" vertical="center" wrapText="1"/>
    </xf>
    <xf numFmtId="0" fontId="33" fillId="16" borderId="96" xfId="0" applyFont="1" applyFill="1" applyBorder="1" applyAlignment="1">
      <alignment horizontal="center" vertical="center" wrapText="1"/>
    </xf>
    <xf numFmtId="0" fontId="33" fillId="15" borderId="96" xfId="0" applyFont="1" applyFill="1" applyBorder="1" applyAlignment="1">
      <alignment horizontal="center" vertical="center" wrapText="1"/>
    </xf>
    <xf numFmtId="0" fontId="22" fillId="6" borderId="95" xfId="0" applyFont="1" applyFill="1" applyBorder="1" applyAlignment="1">
      <alignment horizontal="center" vertical="center" wrapText="1"/>
    </xf>
    <xf numFmtId="0" fontId="35" fillId="17" borderId="95" xfId="0" applyFont="1" applyFill="1" applyBorder="1" applyAlignment="1">
      <alignment horizontal="center" vertical="center" wrapText="1"/>
    </xf>
    <xf numFmtId="0" fontId="22" fillId="18" borderId="25" xfId="0" applyFont="1" applyFill="1" applyBorder="1" applyAlignment="1">
      <alignment horizontal="center" vertical="center" wrapText="1"/>
    </xf>
    <xf numFmtId="0" fontId="22" fillId="19" borderId="29" xfId="0" applyFont="1" applyFill="1" applyBorder="1" applyAlignment="1">
      <alignment horizontal="center" vertical="center" wrapText="1"/>
    </xf>
    <xf numFmtId="0" fontId="22" fillId="20" borderId="29" xfId="0" applyFont="1" applyFill="1" applyBorder="1" applyAlignment="1">
      <alignment horizontal="center" vertical="center" wrapText="1"/>
    </xf>
    <xf numFmtId="0" fontId="22" fillId="21" borderId="25" xfId="0" applyFont="1" applyFill="1" applyBorder="1" applyAlignment="1">
      <alignment horizontal="center" vertical="center" wrapText="1"/>
    </xf>
    <xf numFmtId="0" fontId="22" fillId="18" borderId="40" xfId="0" applyFont="1" applyFill="1" applyBorder="1" applyAlignment="1">
      <alignment horizontal="center" vertical="center" wrapText="1"/>
    </xf>
    <xf numFmtId="0" fontId="22" fillId="20" borderId="25" xfId="0" applyFont="1" applyFill="1" applyBorder="1" applyAlignment="1">
      <alignment horizontal="center" vertical="center" wrapText="1"/>
    </xf>
    <xf numFmtId="0" fontId="22" fillId="17" borderId="25" xfId="0" applyFont="1" applyFill="1" applyBorder="1" applyAlignment="1">
      <alignment horizontal="center" vertical="center" wrapText="1"/>
    </xf>
    <xf numFmtId="0" fontId="22" fillId="18" borderId="42" xfId="0" applyFont="1" applyFill="1" applyBorder="1" applyAlignment="1">
      <alignment horizontal="center" vertical="center" wrapText="1"/>
    </xf>
    <xf numFmtId="0" fontId="22" fillId="20" borderId="42" xfId="0" applyFont="1" applyFill="1" applyBorder="1" applyAlignment="1">
      <alignment horizontal="center" vertical="center" wrapText="1"/>
    </xf>
    <xf numFmtId="0" fontId="22" fillId="22" borderId="29" xfId="0" applyFont="1" applyFill="1" applyBorder="1" applyAlignment="1">
      <alignment horizontal="center" vertical="center" wrapText="1"/>
    </xf>
    <xf numFmtId="0" fontId="22" fillId="22" borderId="25" xfId="0" applyFont="1" applyFill="1" applyBorder="1" applyAlignment="1">
      <alignment horizontal="center" vertical="center" wrapText="1"/>
    </xf>
    <xf numFmtId="0" fontId="22" fillId="23" borderId="25" xfId="0" applyFont="1" applyFill="1" applyBorder="1" applyAlignment="1">
      <alignment horizontal="center" vertical="center" wrapText="1"/>
    </xf>
    <xf numFmtId="0" fontId="22" fillId="22" borderId="42" xfId="0" applyFont="1" applyFill="1" applyBorder="1" applyAlignment="1">
      <alignment horizontal="center" vertical="center" wrapText="1"/>
    </xf>
    <xf numFmtId="0" fontId="22" fillId="17" borderId="42" xfId="0" applyFont="1" applyFill="1" applyBorder="1" applyAlignment="1">
      <alignment horizontal="center" vertical="center" wrapText="1"/>
    </xf>
    <xf numFmtId="0" fontId="22" fillId="24" borderId="42" xfId="0" applyFont="1" applyFill="1" applyBorder="1" applyAlignment="1">
      <alignment horizontal="center" vertical="center" wrapText="1"/>
    </xf>
    <xf numFmtId="0" fontId="22" fillId="25" borderId="25" xfId="0" applyFont="1" applyFill="1" applyBorder="1" applyAlignment="1">
      <alignment horizontal="center" vertical="center"/>
    </xf>
    <xf numFmtId="0" fontId="22" fillId="17" borderId="29" xfId="0" applyFont="1" applyFill="1" applyBorder="1" applyAlignment="1">
      <alignment horizontal="center" vertical="center" wrapText="1"/>
    </xf>
    <xf numFmtId="0" fontId="22" fillId="26" borderId="25" xfId="0" applyFont="1" applyFill="1" applyBorder="1" applyAlignment="1">
      <alignment horizontal="center" vertical="center"/>
    </xf>
    <xf numFmtId="0" fontId="22" fillId="24" borderId="25" xfId="0" applyFont="1" applyFill="1" applyBorder="1" applyAlignment="1">
      <alignment horizontal="center" vertical="center" wrapText="1"/>
    </xf>
    <xf numFmtId="0" fontId="22" fillId="25" borderId="25" xfId="0" applyFont="1" applyFill="1" applyBorder="1" applyAlignment="1">
      <alignment horizontal="center" vertical="center" wrapText="1"/>
    </xf>
    <xf numFmtId="0" fontId="22" fillId="27" borderId="25" xfId="0" applyFont="1" applyFill="1" applyBorder="1" applyAlignment="1">
      <alignment horizontal="center" vertical="center" wrapText="1"/>
    </xf>
    <xf numFmtId="0" fontId="22" fillId="17" borderId="42" xfId="0" applyFont="1" applyFill="1" applyBorder="1" applyAlignment="1">
      <alignment horizontal="center" vertical="center"/>
    </xf>
    <xf numFmtId="0" fontId="22" fillId="26" borderId="25" xfId="0" applyFont="1" applyFill="1" applyBorder="1" applyAlignment="1">
      <alignment horizontal="center" vertical="center" wrapText="1"/>
    </xf>
    <xf numFmtId="0" fontId="5" fillId="22" borderId="53" xfId="0" applyFont="1" applyFill="1" applyBorder="1" applyAlignment="1">
      <alignment horizontal="center" vertical="center"/>
    </xf>
    <xf numFmtId="0" fontId="24" fillId="27" borderId="25" xfId="0" applyFont="1" applyFill="1" applyBorder="1" applyAlignment="1">
      <alignment horizontal="center" wrapText="1"/>
    </xf>
    <xf numFmtId="0" fontId="29" fillId="27" borderId="29" xfId="0" applyFont="1" applyFill="1" applyBorder="1" applyAlignment="1">
      <alignment horizontal="center"/>
    </xf>
    <xf numFmtId="0" fontId="12" fillId="28" borderId="25" xfId="0" applyFont="1" applyFill="1" applyBorder="1" applyAlignment="1">
      <alignment horizontal="center" wrapText="1"/>
    </xf>
    <xf numFmtId="0" fontId="12" fillId="20" borderId="25" xfId="0" applyFont="1" applyFill="1" applyBorder="1" applyAlignment="1">
      <alignment horizontal="center" vertical="center" wrapText="1"/>
    </xf>
    <xf numFmtId="1" fontId="13" fillId="29" borderId="33" xfId="0" applyNumberFormat="1" applyFont="1" applyFill="1" applyBorder="1" applyAlignment="1">
      <alignment horizontal="center" vertical="center" wrapText="1"/>
    </xf>
    <xf numFmtId="0" fontId="34" fillId="17" borderId="95" xfId="0" applyFont="1" applyFill="1" applyBorder="1" applyAlignment="1">
      <alignment horizontal="center" vertical="center" wrapText="1"/>
    </xf>
    <xf numFmtId="0" fontId="12" fillId="25" borderId="25" xfId="0" applyFont="1" applyFill="1" applyBorder="1" applyAlignment="1">
      <alignment horizontal="center" wrapText="1"/>
    </xf>
    <xf numFmtId="0" fontId="12" fillId="30" borderId="25" xfId="0" applyFont="1" applyFill="1" applyBorder="1" applyAlignment="1">
      <alignment horizontal="center" wrapText="1"/>
    </xf>
    <xf numFmtId="0" fontId="12" fillId="21" borderId="25" xfId="0" applyFont="1" applyFill="1" applyBorder="1" applyAlignment="1">
      <alignment horizontal="center" vertical="center" wrapText="1"/>
    </xf>
    <xf numFmtId="0" fontId="1" fillId="17" borderId="95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 wrapText="1"/>
    </xf>
    <xf numFmtId="0" fontId="12" fillId="20" borderId="36" xfId="0" applyFont="1" applyFill="1" applyBorder="1" applyAlignment="1">
      <alignment horizontal="center" wrapText="1"/>
    </xf>
    <xf numFmtId="0" fontId="12" fillId="20" borderId="29" xfId="0" applyFont="1" applyFill="1" applyBorder="1" applyAlignment="1">
      <alignment horizontal="center" vertical="center" wrapText="1"/>
    </xf>
    <xf numFmtId="1" fontId="13" fillId="29" borderId="81" xfId="0" applyNumberFormat="1" applyFont="1" applyFill="1" applyBorder="1" applyAlignment="1">
      <alignment horizontal="center" vertical="center" wrapText="1"/>
    </xf>
    <xf numFmtId="0" fontId="12" fillId="20" borderId="25" xfId="0" applyFont="1" applyFill="1" applyBorder="1" applyAlignment="1">
      <alignment horizontal="center" wrapText="1"/>
    </xf>
    <xf numFmtId="1" fontId="13" fillId="29" borderId="32" xfId="0" applyNumberFormat="1" applyFont="1" applyFill="1" applyBorder="1" applyAlignment="1">
      <alignment horizontal="center" vertical="center" wrapText="1"/>
    </xf>
    <xf numFmtId="0" fontId="12" fillId="25" borderId="36" xfId="0" applyFont="1" applyFill="1" applyBorder="1" applyAlignment="1">
      <alignment horizontal="center" wrapText="1"/>
    </xf>
    <xf numFmtId="0" fontId="12" fillId="20" borderId="41" xfId="0" applyFont="1" applyFill="1" applyBorder="1" applyAlignment="1">
      <alignment horizontal="center"/>
    </xf>
    <xf numFmtId="0" fontId="12" fillId="20" borderId="42" xfId="0" applyFont="1" applyFill="1" applyBorder="1" applyAlignment="1">
      <alignment horizontal="center" vertical="center" wrapText="1"/>
    </xf>
    <xf numFmtId="1" fontId="13" fillId="29" borderId="52" xfId="0" applyNumberFormat="1" applyFont="1" applyFill="1" applyBorder="1" applyAlignment="1">
      <alignment horizontal="center" vertical="center" wrapText="1"/>
    </xf>
    <xf numFmtId="0" fontId="12" fillId="20" borderId="25" xfId="0" applyFont="1" applyFill="1" applyBorder="1" applyAlignment="1">
      <alignment horizontal="center"/>
    </xf>
    <xf numFmtId="0" fontId="12" fillId="20" borderId="35" xfId="0" applyFont="1" applyFill="1" applyBorder="1" applyAlignment="1">
      <alignment horizontal="center" vertical="center" wrapText="1"/>
    </xf>
    <xf numFmtId="0" fontId="12" fillId="30" borderId="29" xfId="0" applyFont="1" applyFill="1" applyBorder="1" applyAlignment="1">
      <alignment horizontal="center" wrapText="1"/>
    </xf>
    <xf numFmtId="0" fontId="12" fillId="31" borderId="25" xfId="0" applyFont="1" applyFill="1" applyBorder="1" applyAlignment="1">
      <alignment horizontal="center" vertical="center" wrapText="1"/>
    </xf>
    <xf numFmtId="0" fontId="12" fillId="32" borderId="25" xfId="0" applyFont="1" applyFill="1" applyBorder="1" applyAlignment="1">
      <alignment horizontal="center" vertical="center" wrapText="1"/>
    </xf>
    <xf numFmtId="0" fontId="12" fillId="33" borderId="25" xfId="0" applyFont="1" applyFill="1" applyBorder="1" applyAlignment="1">
      <alignment horizontal="center" vertical="center" wrapText="1"/>
    </xf>
    <xf numFmtId="0" fontId="12" fillId="34" borderId="25" xfId="0" applyFont="1" applyFill="1" applyBorder="1" applyAlignment="1">
      <alignment horizontal="center" vertical="center" wrapText="1"/>
    </xf>
    <xf numFmtId="0" fontId="12" fillId="22" borderId="25" xfId="0" applyFont="1" applyFill="1" applyBorder="1" applyAlignment="1">
      <alignment horizontal="center" vertical="center" wrapText="1"/>
    </xf>
    <xf numFmtId="0" fontId="12" fillId="35" borderId="25" xfId="0" applyFont="1" applyFill="1" applyBorder="1" applyAlignment="1">
      <alignment horizontal="center" vertical="center" wrapText="1"/>
    </xf>
    <xf numFmtId="0" fontId="12" fillId="17" borderId="25" xfId="0" applyFont="1" applyFill="1" applyBorder="1" applyAlignment="1">
      <alignment horizontal="center" vertical="center" wrapText="1"/>
    </xf>
    <xf numFmtId="0" fontId="11" fillId="32" borderId="25" xfId="0" applyFont="1" applyFill="1" applyBorder="1" applyAlignment="1">
      <alignment horizontal="center" vertical="center" wrapText="1"/>
    </xf>
    <xf numFmtId="0" fontId="12" fillId="32" borderId="29" xfId="0" applyFont="1" applyFill="1" applyBorder="1" applyAlignment="1">
      <alignment horizontal="center" vertical="center" wrapText="1"/>
    </xf>
    <xf numFmtId="0" fontId="12" fillId="35" borderId="35" xfId="0" applyFont="1" applyFill="1" applyBorder="1" applyAlignment="1">
      <alignment horizontal="center" vertical="center" wrapText="1"/>
    </xf>
    <xf numFmtId="0" fontId="12" fillId="34" borderId="35" xfId="0" applyFont="1" applyFill="1" applyBorder="1" applyAlignment="1">
      <alignment horizontal="center" vertical="center" wrapText="1"/>
    </xf>
    <xf numFmtId="0" fontId="12" fillId="22" borderId="35" xfId="0" applyFont="1" applyFill="1" applyBorder="1" applyAlignment="1">
      <alignment horizontal="center" vertical="center" wrapText="1"/>
    </xf>
    <xf numFmtId="0" fontId="12" fillId="33" borderId="35" xfId="0" applyFont="1" applyFill="1" applyBorder="1" applyAlignment="1">
      <alignment horizontal="center" vertical="center" wrapText="1"/>
    </xf>
    <xf numFmtId="0" fontId="12" fillId="22" borderId="42" xfId="0" applyFont="1" applyFill="1" applyBorder="1" applyAlignment="1">
      <alignment horizontal="center" vertical="center" wrapText="1"/>
    </xf>
    <xf numFmtId="0" fontId="12" fillId="36" borderId="25" xfId="0" applyFont="1" applyFill="1" applyBorder="1" applyAlignment="1">
      <alignment horizontal="center" vertical="center" wrapText="1"/>
    </xf>
    <xf numFmtId="0" fontId="12" fillId="24" borderId="25" xfId="0" applyFont="1" applyFill="1" applyBorder="1" applyAlignment="1">
      <alignment horizontal="center" vertical="center" wrapText="1"/>
    </xf>
    <xf numFmtId="0" fontId="12" fillId="37" borderId="25" xfId="0" applyFont="1" applyFill="1" applyBorder="1" applyAlignment="1">
      <alignment horizontal="center" vertical="center" wrapText="1"/>
    </xf>
    <xf numFmtId="0" fontId="12" fillId="17" borderId="35" xfId="0" applyFont="1" applyFill="1" applyBorder="1" applyAlignment="1">
      <alignment horizontal="center" vertical="center" wrapText="1"/>
    </xf>
    <xf numFmtId="0" fontId="12" fillId="23" borderId="25" xfId="0" applyFont="1" applyFill="1" applyBorder="1" applyAlignment="1">
      <alignment horizontal="center" vertical="center" wrapText="1"/>
    </xf>
    <xf numFmtId="0" fontId="12" fillId="32" borderId="35" xfId="0" applyFont="1" applyFill="1" applyBorder="1" applyAlignment="1">
      <alignment horizontal="center" vertical="center" wrapText="1"/>
    </xf>
    <xf numFmtId="0" fontId="12" fillId="26" borderId="25" xfId="0" applyFont="1" applyFill="1" applyBorder="1" applyAlignment="1">
      <alignment horizontal="center" vertical="center" wrapText="1"/>
    </xf>
    <xf numFmtId="0" fontId="36" fillId="32" borderId="25" xfId="0" applyFont="1" applyFill="1" applyBorder="1" applyAlignment="1">
      <alignment horizontal="center" vertical="center" wrapText="1"/>
    </xf>
    <xf numFmtId="0" fontId="37" fillId="32" borderId="25" xfId="0" applyFont="1" applyFill="1" applyBorder="1" applyAlignment="1">
      <alignment horizontal="center" vertical="center" wrapText="1"/>
    </xf>
    <xf numFmtId="0" fontId="3" fillId="0" borderId="64" xfId="0" applyFont="1" applyBorder="1"/>
    <xf numFmtId="0" fontId="3" fillId="0" borderId="65" xfId="0" applyFont="1" applyBorder="1"/>
    <xf numFmtId="0" fontId="8" fillId="3" borderId="21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30" xfId="0" applyFont="1" applyBorder="1"/>
    <xf numFmtId="0" fontId="10" fillId="4" borderId="22" xfId="0" applyFont="1" applyFill="1" applyBorder="1" applyAlignment="1">
      <alignment horizontal="center" vertical="center" textRotation="90" wrapText="1"/>
    </xf>
    <xf numFmtId="0" fontId="3" fillId="0" borderId="23" xfId="0" applyFont="1" applyBorder="1"/>
    <xf numFmtId="0" fontId="3" fillId="0" borderId="27" xfId="0" applyFont="1" applyBorder="1"/>
    <xf numFmtId="0" fontId="10" fillId="4" borderId="21" xfId="0" applyFont="1" applyFill="1" applyBorder="1" applyAlignment="1">
      <alignment horizontal="center" vertical="center" textRotation="90" wrapText="1"/>
    </xf>
    <xf numFmtId="0" fontId="8" fillId="3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8" xfId="0" applyFont="1" applyBorder="1"/>
    <xf numFmtId="0" fontId="9" fillId="0" borderId="11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2" xfId="0" applyFont="1" applyBorder="1"/>
    <xf numFmtId="0" fontId="5" fillId="0" borderId="13" xfId="0" applyFont="1" applyBorder="1" applyAlignment="1">
      <alignment horizontal="center"/>
    </xf>
    <xf numFmtId="0" fontId="3" fillId="0" borderId="14" xfId="0" applyFont="1" applyBorder="1"/>
    <xf numFmtId="0" fontId="6" fillId="0" borderId="13" xfId="0" applyFont="1" applyBorder="1" applyAlignment="1">
      <alignment horizontal="center"/>
    </xf>
    <xf numFmtId="0" fontId="3" fillId="0" borderId="15" xfId="0" applyFont="1" applyBorder="1"/>
    <xf numFmtId="0" fontId="8" fillId="3" borderId="87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89" xfId="0" applyFont="1" applyBorder="1"/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77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0" fillId="0" borderId="0" xfId="0"/>
    <xf numFmtId="0" fontId="3" fillId="0" borderId="78" xfId="0" applyFont="1" applyBorder="1"/>
    <xf numFmtId="0" fontId="3" fillId="0" borderId="75" xfId="0" applyFont="1" applyBorder="1"/>
    <xf numFmtId="0" fontId="3" fillId="0" borderId="79" xfId="0" applyFont="1" applyBorder="1"/>
    <xf numFmtId="0" fontId="23" fillId="7" borderId="13" xfId="0" applyFont="1" applyFill="1" applyBorder="1" applyAlignment="1">
      <alignment horizontal="center" vertical="top" wrapText="1"/>
    </xf>
    <xf numFmtId="0" fontId="23" fillId="7" borderId="80" xfId="0" applyFont="1" applyFill="1" applyBorder="1" applyAlignment="1">
      <alignment horizontal="center" vertical="top" wrapText="1"/>
    </xf>
    <xf numFmtId="0" fontId="3" fillId="0" borderId="81" xfId="0" applyFont="1" applyBorder="1"/>
    <xf numFmtId="0" fontId="3" fillId="0" borderId="82" xfId="0" applyFont="1" applyBorder="1"/>
    <xf numFmtId="0" fontId="7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 vertical="top"/>
    </xf>
    <xf numFmtId="0" fontId="3" fillId="0" borderId="60" xfId="0" applyFont="1" applyBorder="1"/>
    <xf numFmtId="0" fontId="18" fillId="0" borderId="16" xfId="0" applyFont="1" applyBorder="1" applyAlignment="1">
      <alignment horizontal="center" vertical="center"/>
    </xf>
    <xf numFmtId="0" fontId="3" fillId="0" borderId="67" xfId="0" applyFont="1" applyBorder="1"/>
    <xf numFmtId="0" fontId="18" fillId="0" borderId="13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5" fillId="0" borderId="57" xfId="0" applyFont="1" applyBorder="1" applyAlignment="1">
      <alignment horizontal="center" vertical="center"/>
    </xf>
    <xf numFmtId="0" fontId="3" fillId="0" borderId="58" xfId="0" applyFont="1" applyBorder="1"/>
    <xf numFmtId="0" fontId="3" fillId="0" borderId="59" xfId="0" applyFont="1" applyBorder="1"/>
    <xf numFmtId="0" fontId="7" fillId="0" borderId="8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3" fillId="0" borderId="85" xfId="0" applyFont="1" applyBorder="1"/>
    <xf numFmtId="17" fontId="5" fillId="0" borderId="13" xfId="0" applyNumberFormat="1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86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1" fontId="13" fillId="3" borderId="47" xfId="0" applyNumberFormat="1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2" xfId="0" applyFont="1" applyBorder="1"/>
    <xf numFmtId="1" fontId="13" fillId="3" borderId="48" xfId="0" applyNumberFormat="1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9" fillId="0" borderId="13" xfId="0" applyFont="1" applyBorder="1" applyAlignment="1">
      <alignment horizontal="center" vertical="center"/>
    </xf>
    <xf numFmtId="0" fontId="3" fillId="0" borderId="44" xfId="0" applyFont="1" applyBorder="1"/>
    <xf numFmtId="0" fontId="16" fillId="0" borderId="13" xfId="0" applyFont="1" applyBorder="1" applyAlignment="1">
      <alignment horizontal="center" vertical="center"/>
    </xf>
    <xf numFmtId="0" fontId="3" fillId="0" borderId="2" xfId="0" applyFont="1" applyBorder="1"/>
    <xf numFmtId="0" fontId="3" fillId="0" borderId="11" xfId="0" applyFont="1" applyBorder="1"/>
    <xf numFmtId="0" fontId="7" fillId="0" borderId="13" xfId="0" applyFont="1" applyBorder="1" applyAlignment="1">
      <alignment horizontal="center" vertical="center"/>
    </xf>
    <xf numFmtId="0" fontId="3" fillId="0" borderId="76" xfId="0" applyFont="1" applyBorder="1"/>
    <xf numFmtId="0" fontId="3" fillId="0" borderId="91" xfId="0" applyFont="1" applyBorder="1"/>
    <xf numFmtId="0" fontId="9" fillId="6" borderId="63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center"/>
    </xf>
    <xf numFmtId="17" fontId="5" fillId="6" borderId="63" xfId="0" applyNumberFormat="1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 wrapText="1"/>
    </xf>
    <xf numFmtId="1" fontId="21" fillId="6" borderId="47" xfId="0" applyNumberFormat="1" applyFont="1" applyFill="1" applyBorder="1" applyAlignment="1">
      <alignment horizontal="center" vertical="center" wrapText="1"/>
    </xf>
    <xf numFmtId="0" fontId="21" fillId="6" borderId="47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3" fillId="0" borderId="73" xfId="0" applyFont="1" applyBorder="1"/>
    <xf numFmtId="0" fontId="3" fillId="0" borderId="74" xfId="0" applyFont="1" applyBorder="1"/>
    <xf numFmtId="0" fontId="5" fillId="6" borderId="63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/>
    </xf>
    <xf numFmtId="0" fontId="3" fillId="0" borderId="71" xfId="0" applyFont="1" applyBorder="1"/>
    <xf numFmtId="0" fontId="3" fillId="0" borderId="72" xfId="0" applyFont="1" applyBorder="1"/>
    <xf numFmtId="0" fontId="5" fillId="6" borderId="63" xfId="0" applyFont="1" applyFill="1" applyBorder="1" applyAlignment="1">
      <alignment horizontal="center"/>
    </xf>
    <xf numFmtId="0" fontId="7" fillId="6" borderId="63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3" fillId="0" borderId="62" xfId="0" applyFont="1" applyBorder="1"/>
    <xf numFmtId="0" fontId="18" fillId="0" borderId="13" xfId="0" applyFont="1" applyBorder="1" applyAlignment="1">
      <alignment horizontal="center" vertical="center" wrapText="1"/>
    </xf>
    <xf numFmtId="0" fontId="19" fillId="7" borderId="54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3" fillId="0" borderId="56" xfId="0" applyFont="1" applyBorder="1"/>
    <xf numFmtId="0" fontId="18" fillId="0" borderId="3" xfId="0" applyFont="1" applyBorder="1" applyAlignment="1">
      <alignment horizontal="center" vertical="center" wrapText="1"/>
    </xf>
    <xf numFmtId="0" fontId="3" fillId="0" borderId="61" xfId="0" applyFont="1" applyBorder="1"/>
    <xf numFmtId="0" fontId="5" fillId="0" borderId="52" xfId="0" applyFont="1" applyBorder="1" applyAlignment="1">
      <alignment horizontal="center" vertical="center"/>
    </xf>
    <xf numFmtId="0" fontId="5" fillId="6" borderId="76" xfId="0" applyFont="1" applyFill="1" applyBorder="1" applyAlignment="1">
      <alignment horizontal="center" vertical="center"/>
    </xf>
    <xf numFmtId="0" fontId="18" fillId="6" borderId="76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38100</xdr:rowOff>
    </xdr:from>
    <xdr:ext cx="164782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38100</xdr:rowOff>
    </xdr:from>
    <xdr:ext cx="164782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38100</xdr:rowOff>
    </xdr:from>
    <xdr:ext cx="1647825" cy="4667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38100</xdr:rowOff>
    </xdr:from>
    <xdr:ext cx="1647825" cy="4667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1000"/>
  <sheetViews>
    <sheetView tabSelected="1" zoomScale="93" zoomScaleNormal="93" workbookViewId="0">
      <selection activeCell="A35" sqref="A35:C39"/>
    </sheetView>
  </sheetViews>
  <sheetFormatPr baseColWidth="10" defaultColWidth="14.42578125" defaultRowHeight="15" customHeight="1" x14ac:dyDescent="0.25"/>
  <cols>
    <col min="1" max="1" width="5" customWidth="1"/>
    <col min="2" max="2" width="37" customWidth="1"/>
    <col min="3" max="3" width="19.85546875" customWidth="1"/>
    <col min="4" max="10" width="3.5703125" hidden="1" customWidth="1"/>
    <col min="11" max="11" width="3.140625" hidden="1" customWidth="1"/>
    <col min="12" max="15" width="3.85546875" customWidth="1"/>
    <col min="16" max="31" width="5" customWidth="1"/>
    <col min="32" max="34" width="4.42578125" customWidth="1"/>
    <col min="35" max="36" width="5.140625" customWidth="1"/>
    <col min="37" max="37" width="4.5703125" customWidth="1"/>
    <col min="38" max="38" width="4.42578125" customWidth="1"/>
    <col min="39" max="39" width="5" customWidth="1"/>
    <col min="40" max="47" width="5" hidden="1" customWidth="1"/>
    <col min="48" max="49" width="3.42578125" hidden="1" customWidth="1"/>
    <col min="50" max="50" width="4.7109375" customWidth="1"/>
    <col min="51" max="51" width="4.85546875" customWidth="1"/>
    <col min="52" max="52" width="4.7109375" customWidth="1"/>
    <col min="53" max="53" width="4.5703125" customWidth="1"/>
    <col min="54" max="56" width="4.28515625" customWidth="1"/>
    <col min="57" max="57" width="4.85546875" customWidth="1"/>
  </cols>
  <sheetData>
    <row r="1" spans="1:57" ht="13.5" customHeight="1" x14ac:dyDescent="0.25">
      <c r="A1" s="301"/>
      <c r="B1" s="349"/>
      <c r="C1" s="306" t="s">
        <v>0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07"/>
      <c r="AR1" s="307"/>
      <c r="AS1" s="307"/>
      <c r="AT1" s="307"/>
      <c r="AU1" s="307"/>
      <c r="AV1" s="307"/>
      <c r="AW1" s="307"/>
      <c r="AX1" s="307"/>
      <c r="AY1" s="307"/>
      <c r="AZ1" s="307"/>
      <c r="BA1" s="307"/>
      <c r="BB1" s="307"/>
      <c r="BC1" s="307"/>
      <c r="BD1" s="307"/>
      <c r="BE1" s="308"/>
    </row>
    <row r="2" spans="1:57" ht="13.5" customHeight="1" x14ac:dyDescent="0.25">
      <c r="A2" s="303"/>
      <c r="B2" s="310"/>
      <c r="C2" s="309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04"/>
    </row>
    <row r="3" spans="1:57" ht="13.5" customHeight="1" x14ac:dyDescent="0.25">
      <c r="A3" s="305"/>
      <c r="B3" s="289"/>
      <c r="C3" s="350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289"/>
      <c r="BE3" s="290"/>
    </row>
    <row r="4" spans="1:57" ht="18.75" customHeight="1" x14ac:dyDescent="0.25">
      <c r="A4" s="291" t="s">
        <v>1</v>
      </c>
      <c r="B4" s="292"/>
      <c r="C4" s="293" t="s">
        <v>2</v>
      </c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2"/>
      <c r="AF4" s="292"/>
      <c r="AG4" s="292"/>
      <c r="AH4" s="292"/>
      <c r="AI4" s="292"/>
      <c r="AJ4" s="292"/>
      <c r="AK4" s="292"/>
      <c r="AL4" s="292"/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2"/>
      <c r="AY4" s="292"/>
      <c r="AZ4" s="292"/>
      <c r="BA4" s="292"/>
      <c r="BB4" s="292"/>
      <c r="BC4" s="292"/>
      <c r="BD4" s="292"/>
      <c r="BE4" s="294"/>
    </row>
    <row r="5" spans="1:57" ht="18.75" customHeight="1" x14ac:dyDescent="0.25">
      <c r="A5" s="351" t="s">
        <v>3</v>
      </c>
      <c r="B5" s="292"/>
      <c r="C5" s="293" t="s">
        <v>4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  <c r="AW5" s="292"/>
      <c r="AX5" s="292"/>
      <c r="AY5" s="292"/>
      <c r="AZ5" s="292"/>
      <c r="BA5" s="292"/>
      <c r="BB5" s="292"/>
      <c r="BC5" s="292"/>
      <c r="BD5" s="292"/>
      <c r="BE5" s="294"/>
    </row>
    <row r="6" spans="1:57" ht="18.75" customHeight="1" thickBot="1" x14ac:dyDescent="0.3">
      <c r="A6" s="344" t="s">
        <v>5</v>
      </c>
      <c r="B6" s="345"/>
      <c r="C6" s="334">
        <v>46143</v>
      </c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4"/>
    </row>
    <row r="7" spans="1:57" ht="15" customHeight="1" x14ac:dyDescent="0.25">
      <c r="A7" s="335" t="s">
        <v>6</v>
      </c>
      <c r="B7" s="336" t="s">
        <v>7</v>
      </c>
      <c r="C7" s="285" t="s">
        <v>8</v>
      </c>
      <c r="D7" s="346" t="s">
        <v>9</v>
      </c>
      <c r="E7" s="292"/>
      <c r="F7" s="292"/>
      <c r="G7" s="292"/>
      <c r="H7" s="292"/>
      <c r="I7" s="292"/>
      <c r="J7" s="294"/>
      <c r="K7" s="285" t="s">
        <v>10</v>
      </c>
      <c r="L7" s="352"/>
      <c r="M7" s="352"/>
      <c r="N7" s="313"/>
      <c r="O7" s="285" t="s">
        <v>10</v>
      </c>
      <c r="P7" s="300" t="s">
        <v>11</v>
      </c>
      <c r="Q7" s="289"/>
      <c r="R7" s="289"/>
      <c r="S7" s="289"/>
      <c r="T7" s="289"/>
      <c r="U7" s="289"/>
      <c r="V7" s="290"/>
      <c r="W7" s="285" t="s">
        <v>10</v>
      </c>
      <c r="X7" s="288" t="s">
        <v>12</v>
      </c>
      <c r="Y7" s="289"/>
      <c r="Z7" s="289"/>
      <c r="AA7" s="289"/>
      <c r="AB7" s="289"/>
      <c r="AC7" s="289"/>
      <c r="AD7" s="290"/>
      <c r="AE7" s="285" t="s">
        <v>10</v>
      </c>
      <c r="AF7" s="288" t="s">
        <v>13</v>
      </c>
      <c r="AG7" s="289"/>
      <c r="AH7" s="289"/>
      <c r="AI7" s="289"/>
      <c r="AJ7" s="289"/>
      <c r="AK7" s="289"/>
      <c r="AL7" s="290"/>
      <c r="AM7" s="285" t="s">
        <v>10</v>
      </c>
      <c r="AN7" s="288" t="s">
        <v>14</v>
      </c>
      <c r="AO7" s="289"/>
      <c r="AP7" s="289"/>
      <c r="AQ7" s="289"/>
      <c r="AR7" s="289"/>
      <c r="AS7" s="289"/>
      <c r="AT7" s="290"/>
      <c r="AU7" s="278" t="s">
        <v>10</v>
      </c>
      <c r="AV7" s="281" t="s">
        <v>15</v>
      </c>
      <c r="AW7" s="284" t="s">
        <v>16</v>
      </c>
      <c r="AX7" s="300" t="s">
        <v>17</v>
      </c>
      <c r="AY7" s="289"/>
      <c r="AZ7" s="289"/>
      <c r="BA7" s="289"/>
      <c r="BB7" s="289"/>
      <c r="BC7" s="289"/>
      <c r="BD7" s="290"/>
      <c r="BE7" s="285" t="s">
        <v>10</v>
      </c>
    </row>
    <row r="8" spans="1:57" ht="12.75" customHeight="1" x14ac:dyDescent="0.25">
      <c r="A8" s="282"/>
      <c r="B8" s="286"/>
      <c r="C8" s="286"/>
      <c r="D8" s="1" t="s">
        <v>18</v>
      </c>
      <c r="E8" s="1" t="s">
        <v>19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296"/>
      <c r="L8" s="194" t="s">
        <v>21</v>
      </c>
      <c r="M8" s="195" t="s">
        <v>22</v>
      </c>
      <c r="N8" s="195" t="s">
        <v>23</v>
      </c>
      <c r="O8" s="313"/>
      <c r="P8" s="1" t="s">
        <v>18</v>
      </c>
      <c r="Q8" s="1" t="s">
        <v>19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286"/>
      <c r="X8" s="1" t="s">
        <v>18</v>
      </c>
      <c r="Y8" s="1" t="s">
        <v>19</v>
      </c>
      <c r="Z8" s="1" t="s">
        <v>19</v>
      </c>
      <c r="AA8" s="1" t="s">
        <v>20</v>
      </c>
      <c r="AB8" s="1" t="s">
        <v>21</v>
      </c>
      <c r="AC8" s="1" t="s">
        <v>22</v>
      </c>
      <c r="AD8" s="1" t="s">
        <v>23</v>
      </c>
      <c r="AE8" s="286"/>
      <c r="AF8" s="2" t="s">
        <v>18</v>
      </c>
      <c r="AG8" s="1" t="s">
        <v>19</v>
      </c>
      <c r="AH8" s="1" t="s">
        <v>19</v>
      </c>
      <c r="AI8" s="1" t="s">
        <v>20</v>
      </c>
      <c r="AJ8" s="1" t="s">
        <v>21</v>
      </c>
      <c r="AK8" s="1" t="s">
        <v>22</v>
      </c>
      <c r="AL8" s="1" t="s">
        <v>23</v>
      </c>
      <c r="AM8" s="286"/>
      <c r="AN8" s="1" t="s">
        <v>18</v>
      </c>
      <c r="AO8" s="1" t="s">
        <v>19</v>
      </c>
      <c r="AP8" s="1" t="s">
        <v>19</v>
      </c>
      <c r="AQ8" s="1" t="s">
        <v>20</v>
      </c>
      <c r="AR8" s="1" t="s">
        <v>21</v>
      </c>
      <c r="AS8" s="1" t="s">
        <v>22</v>
      </c>
      <c r="AT8" s="1" t="s">
        <v>23</v>
      </c>
      <c r="AU8" s="279"/>
      <c r="AV8" s="282"/>
      <c r="AW8" s="279"/>
      <c r="AX8" s="1" t="s">
        <v>18</v>
      </c>
      <c r="AY8" s="1" t="s">
        <v>19</v>
      </c>
      <c r="AZ8" s="1" t="s">
        <v>19</v>
      </c>
      <c r="BA8" s="1" t="s">
        <v>20</v>
      </c>
      <c r="BB8" s="1" t="s">
        <v>21</v>
      </c>
      <c r="BC8" s="1" t="s">
        <v>22</v>
      </c>
      <c r="BD8" s="1" t="s">
        <v>23</v>
      </c>
      <c r="BE8" s="286"/>
    </row>
    <row r="9" spans="1:57" x14ac:dyDescent="0.25">
      <c r="A9" s="283"/>
      <c r="B9" s="287"/>
      <c r="C9" s="287"/>
      <c r="D9" s="3">
        <v>24</v>
      </c>
      <c r="E9" s="3">
        <v>25</v>
      </c>
      <c r="F9" s="3">
        <v>26</v>
      </c>
      <c r="G9" s="3">
        <v>27</v>
      </c>
      <c r="H9" s="3">
        <v>28</v>
      </c>
      <c r="I9" s="3">
        <v>29</v>
      </c>
      <c r="J9" s="3">
        <v>1</v>
      </c>
      <c r="K9" s="353"/>
      <c r="L9" s="194">
        <v>1</v>
      </c>
      <c r="M9" s="195">
        <v>2</v>
      </c>
      <c r="N9" s="195">
        <v>3</v>
      </c>
      <c r="O9" s="347"/>
      <c r="P9" s="1">
        <v>4</v>
      </c>
      <c r="Q9" s="1">
        <v>5</v>
      </c>
      <c r="R9" s="1">
        <v>6</v>
      </c>
      <c r="S9" s="1">
        <v>7</v>
      </c>
      <c r="T9" s="1">
        <v>8</v>
      </c>
      <c r="U9" s="1">
        <v>9</v>
      </c>
      <c r="V9" s="1">
        <v>10</v>
      </c>
      <c r="W9" s="287"/>
      <c r="X9" s="1">
        <v>11</v>
      </c>
      <c r="Y9" s="1">
        <v>12</v>
      </c>
      <c r="Z9" s="1">
        <v>13</v>
      </c>
      <c r="AA9" s="1">
        <v>14</v>
      </c>
      <c r="AB9" s="1">
        <v>15</v>
      </c>
      <c r="AC9" s="1">
        <v>16</v>
      </c>
      <c r="AD9" s="1">
        <v>17</v>
      </c>
      <c r="AE9" s="287"/>
      <c r="AF9" s="2">
        <v>18</v>
      </c>
      <c r="AG9" s="1">
        <v>19</v>
      </c>
      <c r="AH9" s="1">
        <v>20</v>
      </c>
      <c r="AI9" s="1">
        <v>21</v>
      </c>
      <c r="AJ9" s="1">
        <v>22</v>
      </c>
      <c r="AK9" s="1">
        <v>23</v>
      </c>
      <c r="AL9" s="1">
        <v>24</v>
      </c>
      <c r="AM9" s="287"/>
      <c r="AN9" s="1"/>
      <c r="AO9" s="1"/>
      <c r="AP9" s="1"/>
      <c r="AQ9" s="1"/>
      <c r="AR9" s="1"/>
      <c r="AS9" s="1"/>
      <c r="AT9" s="1"/>
      <c r="AU9" s="280"/>
      <c r="AV9" s="283"/>
      <c r="AW9" s="280"/>
      <c r="AX9" s="1">
        <v>25</v>
      </c>
      <c r="AY9" s="1">
        <v>26</v>
      </c>
      <c r="AZ9" s="1">
        <v>27</v>
      </c>
      <c r="BA9" s="1">
        <v>28</v>
      </c>
      <c r="BB9" s="1">
        <v>29</v>
      </c>
      <c r="BC9" s="1">
        <v>30</v>
      </c>
      <c r="BD9" s="1">
        <v>31</v>
      </c>
      <c r="BE9" s="287"/>
    </row>
    <row r="10" spans="1:57" ht="21" customHeight="1" x14ac:dyDescent="0.25">
      <c r="A10" s="4">
        <v>1</v>
      </c>
      <c r="B10" s="232" t="s">
        <v>24</v>
      </c>
      <c r="C10" s="6">
        <v>1113635716</v>
      </c>
      <c r="D10" s="233" t="s">
        <v>23</v>
      </c>
      <c r="E10" s="233" t="s">
        <v>23</v>
      </c>
      <c r="F10" s="233" t="s">
        <v>18</v>
      </c>
      <c r="G10" s="233" t="s">
        <v>23</v>
      </c>
      <c r="H10" s="233" t="s">
        <v>25</v>
      </c>
      <c r="I10" s="233" t="s">
        <v>18</v>
      </c>
      <c r="J10" s="233" t="s">
        <v>18</v>
      </c>
      <c r="K10" s="234">
        <f t="shared" ref="K10:K20" si="0">COUNTIF(D10:J10,"D")*12+COUNTIF(D10:J10,"D1")*11+COUNTIF(D10:J10,"N")*12+COUNTIF(D10:J10,"N1")*11+COUNTIF(D10:J10,"Din")*12+COUNTIF(D10:J10,"D1in")*11+COUNTIF(D10:J10,"Nin")*12+COUNTIF(D10:J10,"N1in")*11+COUNTIF(D10:J10,"M8")*8+COUNTIF(D10:J10,"T8")*8+COUNTIF(D10:J10,"N8")*8</f>
        <v>44</v>
      </c>
      <c r="L10" s="235" t="s">
        <v>18</v>
      </c>
      <c r="M10" s="235" t="s">
        <v>23</v>
      </c>
      <c r="N10" s="235" t="s">
        <v>26</v>
      </c>
      <c r="O10" s="192">
        <f t="shared" ref="O10:O33" si="1">COUNTIF(L10:N10,"D")*12+COUNTIF(L10:N10,"D1")*11+COUNTIF(L10:N10,"N")*12+COUNTIF(L10:N10,"N1")*11+COUNTIF(L10:N10,"Din")*12+COUNTIF(L10:N10,"D1in")*11+COUNTIF(L10:N10,"Nin")*12+COUNTIF(L10:N10,"N1in")*11+COUNTIF(L10:N10,"M8")*8+COUNTIF(L10:N10,"T8")*8+COUNTIF(L10:N10,"N8")*8</f>
        <v>24</v>
      </c>
      <c r="P10" s="253" t="s">
        <v>18</v>
      </c>
      <c r="Q10" s="254" t="s">
        <v>23</v>
      </c>
      <c r="R10" s="255" t="s">
        <v>27</v>
      </c>
      <c r="S10" s="256" t="s">
        <v>26</v>
      </c>
      <c r="T10" s="255" t="s">
        <v>25</v>
      </c>
      <c r="U10" s="8" t="s">
        <v>18</v>
      </c>
      <c r="V10" s="8" t="s">
        <v>18</v>
      </c>
      <c r="W10" s="9">
        <f t="shared" ref="W10:W33" si="2">COUNTIF(P10:V10,"D")*12+COUNTIF(P10:V10,"D1")*11+COUNTIF(P10:V10,"N")*12+COUNTIF(P10:V10,"N1")*11+COUNTIF(P10:V10,"Din")*12+COUNTIF(P10:V10,"D1in")*11+COUNTIF(P10:V10,"Nin")*12+COUNTIF(P10:V10,"N1in")*11+COUNTIF(P10:V10,"M8")*8+COUNTIF(P10:V10,"T8")*8+COUNTIF(P10:V10,"N8")*8</f>
        <v>40</v>
      </c>
      <c r="X10" s="256" t="s">
        <v>23</v>
      </c>
      <c r="Y10" s="256" t="s">
        <v>23</v>
      </c>
      <c r="Z10" s="8" t="s">
        <v>18</v>
      </c>
      <c r="AA10" s="255" t="s">
        <v>27</v>
      </c>
      <c r="AB10" s="8" t="s">
        <v>18</v>
      </c>
      <c r="AC10" s="8" t="s">
        <v>18</v>
      </c>
      <c r="AD10" s="256" t="s">
        <v>23</v>
      </c>
      <c r="AE10" s="9">
        <f t="shared" ref="AE10:AE33" si="3">COUNTIF(X10:AD10,"D")*12+COUNTIF(X10:AD10,"D1")*11+COUNTIF(X10:AD10,"N")*12+COUNTIF(X10:AD10,"N1")*11+COUNTIF(X10:AD10,"Din")*12+COUNTIF(X10:AD10,"D1in")*11+COUNTIF(X10:AD10,"Nin")*12+COUNTIF(X10:AD10,"N1in")*11+COUNTIF(X10:AD10,"M8")*8+COUNTIF(X10:AD10,"T8")*8+COUNTIF(X10:AD10,"N8")*8</f>
        <v>44</v>
      </c>
      <c r="AF10" s="256" t="s">
        <v>23</v>
      </c>
      <c r="AG10" s="255" t="s">
        <v>29</v>
      </c>
      <c r="AH10" s="257" t="s">
        <v>23</v>
      </c>
      <c r="AI10" s="8" t="s">
        <v>18</v>
      </c>
      <c r="AJ10" s="257" t="s">
        <v>23</v>
      </c>
      <c r="AK10" s="257" t="s">
        <v>26</v>
      </c>
      <c r="AL10" s="8" t="s">
        <v>18</v>
      </c>
      <c r="AM10" s="9">
        <f t="shared" ref="AM10:AM33" si="4">COUNTIF(AF10:AL10,"D")*12+COUNTIF(AF10:AL10,"D1")*11+COUNTIF(AF10:AL10,"N")*12+COUNTIF(AF10:AL10,"N1")*11+COUNTIF(AF10:AL10,"Din")*12+COUNTIF(AF10:AL10,"D1in")*11+COUNTIF(AF10:AL10,"Nin")*12+COUNTIF(AF10:AL10,"N1in")*11+COUNTIF(AF10:AL10,"M8")*8+COUNTIF(AF10:AL10,"T8")*8+COUNTIF(AF10:AL10,"N8")*8</f>
        <v>56</v>
      </c>
      <c r="AN10" s="8"/>
      <c r="AO10" s="8"/>
      <c r="AP10" s="8"/>
      <c r="AQ10" s="8"/>
      <c r="AR10" s="8"/>
      <c r="AS10" s="8"/>
      <c r="AT10" s="8"/>
      <c r="AU10" s="9">
        <f t="shared" ref="AU10:AU13" si="5">COUNTIF(AN10:AT10,"D")*12+COUNTIF(AN10:AT10,"D1")*11+COUNTIF(AN10:AT10,"N")*12+COUNTIF(AN10:AT10,"N1")*11+COUNTIF(AN10:AT10,"Din")*12+COUNTIF(AN10:AT10,"D1in")*11+COUNTIF(AN10:AT10,"Nin")*12+COUNTIF(AN10:AT10,"N1in")*11+COUNTIF(AN10:AT10,"DN")*24+COUNTIF(AN10:AT10,"TN")*18+COUNTIF(AN10:AT10,"NM")*18+COUNTIF(AN10:AT10,"DA")*9.5+COUNTIF(AN10:AT10,"DA")*9+COUNTIF(AN10:AT10,"DE")*12+COUNTIF(AN10:AT10,"D2")*11</f>
        <v>0</v>
      </c>
      <c r="AV10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10,"D")+COUNTIF(I10,"D1")+COUNTIF(I10,"N")+COUNTIF(I10,"N1")+COUNTIF(I10,"Din")+COUNTIF(I10,"D1in")+COUNTIF(I10,"Nin")+COUNTIF(I10,"N1in")+COUNTIF(I10,"DN")+COUNTIF(I10,"TN")+COUNTIF(I10,"NM")+COUNTIF(I10,"DA")+COUNTIF(I10,"DA")+COUNTIF(M10,"D")+COUNTIF(M10,"D1")+COUNTIF(M10,"N")+COUNTIF(M10,"N1")+COUNTIF(M10,"Din")+COUNTIF(M10,"D1in")+COUNTIF(M10,"Nin")+COUNTIF(M10,"N1in")+COUNTIF(M10,"DN")+COUNTIF(M10,"TN")+COUNTIF(M10,"NM")+COUNTIF(M10,"DA")+COUNTIF(M10,"DA")+COUNTIF(U10,"D")+COUNTIF(U10,"D1")+COUNTIF(U10,"N")+COUNTIF(U10,"N1")+COUNTIF(U10,"Din")+COUNTIF(U10,"D1in")+COUNTIF(U10,"Nin")+COUNTIF(U10,"N1in")+COUNTIF(U10,"DN")+COUNTIF(U10,"TN")+COUNTIF(U10,"NM")+COUNTIF(U10,"DA")+COUNTIF(U10,"DA")+COUNTIF(AS10,"D")+COUNTIF(AS10,"D1")+COUNTIF(AS10,"N")+COUNTIF(AS10,"N1")+COUNTIF(AS10,"Din")+COUNTIF(AS10,"D1in")+COUNTIF(AS10,"Nin")+COUNTIF(AS10,"N1in")+COUNTIF(AS10,"DN")+COUNTIF(AS10,"TN")+COUNTIF(AS10,"NM")+COUNTIF(AS10,"DA")+COUNTIF(AS10,"DA")</f>
        <v>#REF!</v>
      </c>
      <c r="AW10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10,"D")+COUNTIF(J10,"D1")+COUNTIF(J10,"N")+COUNTIF(J10,"N1")+COUNTIF(J10,"Din")+COUNTIF(J10,"D1in")+COUNTIF(J10,"Nin")+COUNTIF(J10,"N1in")+COUNTIF(J10,"DN")+COUNTIF(J10,"TN")+COUNTIF(J10,"NM")+COUNTIF(J10,"DA")+COUNTIF(J10,"DA")+COUNTIF(N10,"D")+COUNTIF(N10,"D1")+COUNTIF(N10,"N")+COUNTIF(N10,"N1")+COUNTIF(N10,"Din")+COUNTIF(N10,"D1in")+COUNTIF(N10,"Nin")+COUNTIF(N10,"N1in")+COUNTIF(N10,"DN")+COUNTIF(N10,"TN")+COUNTIF(N10,"NM")+COUNTIF(N10,"DA")+COUNTIF(N10,"DA")+COUNTIF(V10,"D")+COUNTIF(V10,"D1")+COUNTIF(V10,"N")+COUNTIF(V10,"N1")+COUNTIF(V10,"Din")+COUNTIF(V10,"D1in")+COUNTIF(V10,"Nin")+COUNTIF(V10,"N1in")+COUNTIF(V10,"DN")+COUNTIF(V10,"TN")+COUNTIF(V10,"NM")+COUNTIF(V10,"DA")+COUNTIF(V10,"DA")+COUNTIF(AT10,"D")+COUNTIF(AT10,"D1")+COUNTIF(AT10,"N")+COUNTIF(AT10,"N1")+COUNTIF(AT10,"Din")+COUNTIF(AT10,"D1in")+COUNTIF(AT10,"Nin")+COUNTIF(AT10,"N1in")+COUNTIF(AT10,"DN")+COUNTIF(AT10,"TN")+COUNTIF(AT10,"NM")+COUNTIF(AT10,"DA")+COUNTIF(AT10,"DA")</f>
        <v>#REF!</v>
      </c>
      <c r="AX10" s="257" t="s">
        <v>26</v>
      </c>
      <c r="AY10" s="8" t="s">
        <v>18</v>
      </c>
      <c r="AZ10" s="258" t="s">
        <v>26</v>
      </c>
      <c r="BA10" s="255" t="s">
        <v>25</v>
      </c>
      <c r="BB10" s="8" t="s">
        <v>18</v>
      </c>
      <c r="BC10" s="8" t="s">
        <v>18</v>
      </c>
      <c r="BD10" s="8" t="s">
        <v>18</v>
      </c>
      <c r="BE10" s="9">
        <f t="shared" ref="BE10:BE33" si="6">COUNTIF(AX10:BD10,"D")*12+COUNTIF(AX10:BD10,"D1")*11+COUNTIF(AX10:BD10,"N")*12+COUNTIF(AX10:BD10,"N1")*11+COUNTIF(AX10:BD10,"Din")*12+COUNTIF(AX10:BD10,"D1in")*11+COUNTIF(AX10:BD10,"Nin")*12+COUNTIF(AX10:BD10,"N1in")*11+COUNTIF(AX10:BD10,"M8")*8+COUNTIF(AX10:BD10,"T8")*8+COUNTIF(AX10:BD10,"N8")*8</f>
        <v>32</v>
      </c>
    </row>
    <row r="11" spans="1:57" ht="21" customHeight="1" x14ac:dyDescent="0.25">
      <c r="A11" s="4">
        <v>2</v>
      </c>
      <c r="B11" s="5" t="s">
        <v>28</v>
      </c>
      <c r="C11" s="6">
        <v>1053812435</v>
      </c>
      <c r="D11" s="233" t="s">
        <v>26</v>
      </c>
      <c r="E11" s="233" t="s">
        <v>18</v>
      </c>
      <c r="F11" s="233" t="s">
        <v>18</v>
      </c>
      <c r="G11" s="233" t="s">
        <v>27</v>
      </c>
      <c r="H11" s="233" t="s">
        <v>23</v>
      </c>
      <c r="I11" s="233" t="s">
        <v>26</v>
      </c>
      <c r="J11" s="233" t="s">
        <v>18</v>
      </c>
      <c r="K11" s="234">
        <f t="shared" si="0"/>
        <v>44</v>
      </c>
      <c r="L11" s="235" t="s">
        <v>29</v>
      </c>
      <c r="M11" s="235" t="s">
        <v>26</v>
      </c>
      <c r="N11" s="235" t="s">
        <v>18</v>
      </c>
      <c r="O11" s="192">
        <f t="shared" si="1"/>
        <v>20</v>
      </c>
      <c r="P11" s="255" t="s">
        <v>27</v>
      </c>
      <c r="Q11" s="8" t="s">
        <v>18</v>
      </c>
      <c r="R11" s="257" t="s">
        <v>23</v>
      </c>
      <c r="S11" s="233" t="s">
        <v>18</v>
      </c>
      <c r="T11" s="257" t="s">
        <v>26</v>
      </c>
      <c r="U11" s="8" t="s">
        <v>18</v>
      </c>
      <c r="V11" s="257" t="s">
        <v>26</v>
      </c>
      <c r="W11" s="9">
        <f t="shared" si="2"/>
        <v>44</v>
      </c>
      <c r="X11" s="8" t="s">
        <v>18</v>
      </c>
      <c r="Y11" s="257" t="s">
        <v>23</v>
      </c>
      <c r="Z11" s="257" t="s">
        <v>23</v>
      </c>
      <c r="AA11" s="8" t="s">
        <v>18</v>
      </c>
      <c r="AB11" s="257" t="s">
        <v>23</v>
      </c>
      <c r="AC11" s="255" t="s">
        <v>25</v>
      </c>
      <c r="AD11" s="8" t="s">
        <v>18</v>
      </c>
      <c r="AE11" s="9">
        <f t="shared" si="3"/>
        <v>44</v>
      </c>
      <c r="AF11" s="269" t="s">
        <v>18</v>
      </c>
      <c r="AG11" s="8" t="s">
        <v>18</v>
      </c>
      <c r="AH11" s="258" t="s">
        <v>26</v>
      </c>
      <c r="AI11" s="8" t="s">
        <v>18</v>
      </c>
      <c r="AJ11" s="255" t="s">
        <v>27</v>
      </c>
      <c r="AK11" s="258" t="s">
        <v>26</v>
      </c>
      <c r="AL11" s="8" t="s">
        <v>18</v>
      </c>
      <c r="AM11" s="9">
        <f t="shared" si="4"/>
        <v>32</v>
      </c>
      <c r="AN11" s="8"/>
      <c r="AO11" s="8"/>
      <c r="AP11" s="8"/>
      <c r="AQ11" s="8"/>
      <c r="AR11" s="8"/>
      <c r="AS11" s="8"/>
      <c r="AT11" s="11"/>
      <c r="AU11" s="9">
        <f t="shared" si="5"/>
        <v>0</v>
      </c>
      <c r="AV11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11,"D")+COUNTIF(I11,"D1")+COUNTIF(I11,"N")+COUNTIF(I11,"N1")+COUNTIF(I11,"Din")+COUNTIF(I11,"D1in")+COUNTIF(I11,"Nin")+COUNTIF(I11,"N1in")+COUNTIF(I11,"DN")+COUNTIF(I11,"TN")+COUNTIF(I11,"NM")+COUNTIF(I11,"DA")+COUNTIF(I11,"DA")+COUNTIF(M11,"D")+COUNTIF(M11,"D1")+COUNTIF(M11,"N")+COUNTIF(M11,"N1")+COUNTIF(M11,"Din")+COUNTIF(M11,"D1in")+COUNTIF(M11,"Nin")+COUNTIF(M11,"N1in")+COUNTIF(M11,"DN")+COUNTIF(M11,"TN")+COUNTIF(M11,"NM")+COUNTIF(M11,"DA")+COUNTIF(M11,"DA")+COUNTIF(U11,"D")+COUNTIF(U11,"D1")+COUNTIF(U11,"N")+COUNTIF(U11,"N1")+COUNTIF(U11,"Din")+COUNTIF(U11,"D1in")+COUNTIF(U11,"Nin")+COUNTIF(U11,"N1in")+COUNTIF(U11,"DN")+COUNTIF(U11,"TN")+COUNTIF(U11,"NM")+COUNTIF(U11,"DA")+COUNTIF(U11,"DA")+COUNTIF(AS11,"D")+COUNTIF(AS11,"D1")+COUNTIF(AS11,"N")+COUNTIF(AS11,"N1")+COUNTIF(AS11,"Din")+COUNTIF(AS11,"D1in")+COUNTIF(AS11,"Nin")+COUNTIF(AS11,"N1in")+COUNTIF(AS11,"DN")+COUNTIF(AS11,"TN")+COUNTIF(AS11,"NM")+COUNTIF(AS11,"DA")+COUNTIF(AS11,"DA")</f>
        <v>#REF!</v>
      </c>
      <c r="AW11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11,"D")+COUNTIF(J11,"D1")+COUNTIF(J11,"N")+COUNTIF(J11,"N1")+COUNTIF(J11,"Din")+COUNTIF(J11,"D1in")+COUNTIF(J11,"Nin")+COUNTIF(J11,"N1in")+COUNTIF(J11,"DN")+COUNTIF(J11,"TN")+COUNTIF(J11,"NM")+COUNTIF(J11,"DA")+COUNTIF(J11,"DA")+COUNTIF(N11,"D")+COUNTIF(N11,"D1")+COUNTIF(N11,"N")+COUNTIF(N11,"N1")+COUNTIF(N11,"Din")+COUNTIF(N11,"D1in")+COUNTIF(N11,"Nin")+COUNTIF(N11,"N1in")+COUNTIF(N11,"DN")+COUNTIF(N11,"TN")+COUNTIF(N11,"NM")+COUNTIF(N11,"DA")+COUNTIF(N11,"DA")+COUNTIF(V11,"D")+COUNTIF(V11,"D1")+COUNTIF(V11,"N")+COUNTIF(V11,"N1")+COUNTIF(V11,"Din")+COUNTIF(V11,"D1in")+COUNTIF(V11,"Nin")+COUNTIF(V11,"N1in")+COUNTIF(V11,"DN")+COUNTIF(V11,"TN")+COUNTIF(V11,"NM")+COUNTIF(V11,"DA")+COUNTIF(V11,"DA")+COUNTIF(AT11,"D")+COUNTIF(AT11,"D1")+COUNTIF(AT11,"N")+COUNTIF(AT11,"N1")+COUNTIF(AT11,"Din")+COUNTIF(AT11,"D1in")+COUNTIF(AT11,"Nin")+COUNTIF(AT11,"N1in")+COUNTIF(AT11,"DN")+COUNTIF(AT11,"TN")+COUNTIF(AT11,"NM")+COUNTIF(AT11,"DA")+COUNTIF(AT11,"DA")</f>
        <v>#REF!</v>
      </c>
      <c r="AX11" s="257" t="s">
        <v>23</v>
      </c>
      <c r="AY11" s="255" t="s">
        <v>29</v>
      </c>
      <c r="AZ11" s="8" t="s">
        <v>18</v>
      </c>
      <c r="BA11" s="254" t="s">
        <v>23</v>
      </c>
      <c r="BB11" s="257" t="s">
        <v>26</v>
      </c>
      <c r="BC11" s="8" t="s">
        <v>18</v>
      </c>
      <c r="BD11" s="257" t="s">
        <v>23</v>
      </c>
      <c r="BE11" s="9">
        <f t="shared" si="6"/>
        <v>56</v>
      </c>
    </row>
    <row r="12" spans="1:57" ht="21" customHeight="1" x14ac:dyDescent="0.25">
      <c r="A12" s="4">
        <v>3</v>
      </c>
      <c r="B12" s="236" t="s">
        <v>30</v>
      </c>
      <c r="C12" s="6">
        <v>1113658796</v>
      </c>
      <c r="D12" s="233" t="s">
        <v>23</v>
      </c>
      <c r="E12" s="233" t="s">
        <v>18</v>
      </c>
      <c r="F12" s="233" t="s">
        <v>29</v>
      </c>
      <c r="G12" s="233" t="s">
        <v>26</v>
      </c>
      <c r="H12" s="233" t="s">
        <v>18</v>
      </c>
      <c r="I12" s="233" t="s">
        <v>26</v>
      </c>
      <c r="J12" s="233" t="s">
        <v>18</v>
      </c>
      <c r="K12" s="234">
        <f t="shared" si="0"/>
        <v>44</v>
      </c>
      <c r="L12" s="235" t="s">
        <v>23</v>
      </c>
      <c r="M12" s="235" t="s">
        <v>18</v>
      </c>
      <c r="N12" s="235" t="s">
        <v>23</v>
      </c>
      <c r="O12" s="192">
        <f t="shared" si="1"/>
        <v>24</v>
      </c>
      <c r="P12" s="256" t="s">
        <v>26</v>
      </c>
      <c r="Q12" s="8" t="s">
        <v>18</v>
      </c>
      <c r="R12" s="8" t="s">
        <v>18</v>
      </c>
      <c r="S12" s="255" t="s">
        <v>27</v>
      </c>
      <c r="T12" s="258" t="s">
        <v>26</v>
      </c>
      <c r="U12" s="8" t="s">
        <v>18</v>
      </c>
      <c r="V12" s="8" t="s">
        <v>18</v>
      </c>
      <c r="W12" s="9">
        <f t="shared" si="2"/>
        <v>32</v>
      </c>
      <c r="X12" s="254" t="s">
        <v>23</v>
      </c>
      <c r="Y12" s="254" t="s">
        <v>23</v>
      </c>
      <c r="Z12" s="254" t="s">
        <v>23</v>
      </c>
      <c r="AA12" s="254" t="s">
        <v>23</v>
      </c>
      <c r="AB12" s="255" t="s">
        <v>29</v>
      </c>
      <c r="AC12" s="8" t="s">
        <v>18</v>
      </c>
      <c r="AD12" s="8" t="s">
        <v>18</v>
      </c>
      <c r="AE12" s="9">
        <f t="shared" si="3"/>
        <v>56</v>
      </c>
      <c r="AF12" s="258" t="s">
        <v>23</v>
      </c>
      <c r="AG12" s="8" t="s">
        <v>18</v>
      </c>
      <c r="AH12" s="255" t="s">
        <v>25</v>
      </c>
      <c r="AI12" s="8" t="s">
        <v>18</v>
      </c>
      <c r="AJ12" s="258" t="s">
        <v>26</v>
      </c>
      <c r="AK12" s="8" t="s">
        <v>18</v>
      </c>
      <c r="AL12" s="258" t="s">
        <v>23</v>
      </c>
      <c r="AM12" s="9">
        <f t="shared" si="4"/>
        <v>44</v>
      </c>
      <c r="AN12" s="8"/>
      <c r="AO12" s="8"/>
      <c r="AP12" s="8"/>
      <c r="AQ12" s="8"/>
      <c r="AR12" s="8"/>
      <c r="AS12" s="8"/>
      <c r="AT12" s="12"/>
      <c r="AU12" s="9">
        <f t="shared" si="5"/>
        <v>0</v>
      </c>
      <c r="AV1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12,"D")+COUNTIF(I12,"D1")+COUNTIF(I12,"N")+COUNTIF(I12,"N1")+COUNTIF(I12,"Din")+COUNTIF(I12,"D1in")+COUNTIF(I12,"Nin")+COUNTIF(I12,"N1in")+COUNTIF(I12,"DN")+COUNTIF(I12,"TN")+COUNTIF(I12,"NM")+COUNTIF(I12,"DA")+COUNTIF(I12,"DA")+COUNTIF(M12,"D")+COUNTIF(M12,"D1")+COUNTIF(M12,"N")+COUNTIF(M12,"N1")+COUNTIF(M12,"Din")+COUNTIF(M12,"D1in")+COUNTIF(M12,"Nin")+COUNTIF(M12,"N1in")+COUNTIF(M12,"DN")+COUNTIF(M12,"TN")+COUNTIF(M12,"NM")+COUNTIF(M12,"DA")+COUNTIF(M12,"DA")+COUNTIF(U12,"D")+COUNTIF(U12,"D1")+COUNTIF(U12,"N")+COUNTIF(U12,"N1")+COUNTIF(U12,"Din")+COUNTIF(U12,"D1in")+COUNTIF(U12,"Nin")+COUNTIF(U12,"N1in")+COUNTIF(U12,"DN")+COUNTIF(U12,"TN")+COUNTIF(U12,"NM")+COUNTIF(U12,"DA")+COUNTIF(U12,"DA")+COUNTIF(AS12,"D")+COUNTIF(AS12,"D1")+COUNTIF(AS12,"N")+COUNTIF(AS12,"N1")+COUNTIF(AS12,"Din")+COUNTIF(AS12,"D1in")+COUNTIF(AS12,"Nin")+COUNTIF(AS12,"N1in")+COUNTIF(AS12,"DN")+COUNTIF(AS12,"TN")+COUNTIF(AS12,"NM")+COUNTIF(AS12,"DA")+COUNTIF(AS12,"DA")</f>
        <v>#REF!</v>
      </c>
      <c r="AW1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12,"D")+COUNTIF(J12,"D1")+COUNTIF(J12,"N")+COUNTIF(J12,"N1")+COUNTIF(J12,"Din")+COUNTIF(J12,"D1in")+COUNTIF(J12,"Nin")+COUNTIF(J12,"N1in")+COUNTIF(J12,"DN")+COUNTIF(J12,"TN")+COUNTIF(J12,"NM")+COUNTIF(J12,"DA")+COUNTIF(J12,"DA")+COUNTIF(N12,"D")+COUNTIF(N12,"D1")+COUNTIF(N12,"N")+COUNTIF(N12,"N1")+COUNTIF(N12,"Din")+COUNTIF(N12,"D1in")+COUNTIF(N12,"Nin")+COUNTIF(N12,"N1in")+COUNTIF(N12,"DN")+COUNTIF(N12,"TN")+COUNTIF(N12,"NM")+COUNTIF(N12,"DA")+COUNTIF(N12,"DA")+COUNTIF(V12,"D")+COUNTIF(V12,"D1")+COUNTIF(V12,"N")+COUNTIF(V12,"N1")+COUNTIF(V12,"Din")+COUNTIF(V12,"D1in")+COUNTIF(V12,"Nin")+COUNTIF(V12,"N1in")+COUNTIF(V12,"DN")+COUNTIF(V12,"TN")+COUNTIF(V12,"NM")+COUNTIF(V12,"DA")+COUNTIF(V12,"DA")+COUNTIF(AT12,"D")+COUNTIF(AT12,"D1")+COUNTIF(AT12,"N")+COUNTIF(AT12,"N1")+COUNTIF(AT12,"Din")+COUNTIF(AT12,"D1in")+COUNTIF(AT12,"Nin")+COUNTIF(AT12,"N1in")+COUNTIF(AT12,"DN")+COUNTIF(AT12,"TN")+COUNTIF(AT12,"NM")+COUNTIF(AT12,"DA")+COUNTIF(AT12,"DA")</f>
        <v>#REF!</v>
      </c>
      <c r="AX12" s="258" t="s">
        <v>26</v>
      </c>
      <c r="AY12" s="8" t="s">
        <v>18</v>
      </c>
      <c r="AZ12" s="8" t="s">
        <v>29</v>
      </c>
      <c r="BA12" s="257" t="s">
        <v>26</v>
      </c>
      <c r="BB12" s="8" t="s">
        <v>18</v>
      </c>
      <c r="BC12" s="257" t="s">
        <v>26</v>
      </c>
      <c r="BD12" s="8" t="s">
        <v>18</v>
      </c>
      <c r="BE12" s="9">
        <f t="shared" si="6"/>
        <v>44</v>
      </c>
    </row>
    <row r="13" spans="1:57" ht="21" customHeight="1" x14ac:dyDescent="0.25">
      <c r="A13" s="4">
        <v>4</v>
      </c>
      <c r="B13" s="232" t="s">
        <v>31</v>
      </c>
      <c r="C13" s="6">
        <v>66767977</v>
      </c>
      <c r="D13" s="233" t="s">
        <v>18</v>
      </c>
      <c r="E13" s="233" t="s">
        <v>18</v>
      </c>
      <c r="F13" s="233" t="s">
        <v>18</v>
      </c>
      <c r="G13" s="233" t="s">
        <v>18</v>
      </c>
      <c r="H13" s="233" t="s">
        <v>23</v>
      </c>
      <c r="I13" s="233" t="s">
        <v>29</v>
      </c>
      <c r="J13" s="233" t="s">
        <v>23</v>
      </c>
      <c r="K13" s="234">
        <f t="shared" si="0"/>
        <v>32</v>
      </c>
      <c r="L13" s="235" t="s">
        <v>23</v>
      </c>
      <c r="M13" s="235" t="s">
        <v>26</v>
      </c>
      <c r="N13" s="235" t="s">
        <v>18</v>
      </c>
      <c r="O13" s="192">
        <f t="shared" si="1"/>
        <v>24</v>
      </c>
      <c r="P13" s="256" t="s">
        <v>23</v>
      </c>
      <c r="Q13" s="8" t="s">
        <v>18</v>
      </c>
      <c r="R13" s="8" t="s">
        <v>18</v>
      </c>
      <c r="S13" s="258" t="s">
        <v>23</v>
      </c>
      <c r="T13" s="255" t="s">
        <v>29</v>
      </c>
      <c r="U13" s="258" t="s">
        <v>26</v>
      </c>
      <c r="V13" s="8" t="s">
        <v>18</v>
      </c>
      <c r="W13" s="9">
        <f t="shared" si="2"/>
        <v>44</v>
      </c>
      <c r="X13" s="255" t="s">
        <v>27</v>
      </c>
      <c r="Y13" s="255" t="s">
        <v>27</v>
      </c>
      <c r="Z13" s="254" t="s">
        <v>26</v>
      </c>
      <c r="AA13" s="8" t="s">
        <v>18</v>
      </c>
      <c r="AB13" s="254" t="s">
        <v>23</v>
      </c>
      <c r="AC13" s="254" t="s">
        <v>26</v>
      </c>
      <c r="AD13" s="8" t="s">
        <v>18</v>
      </c>
      <c r="AE13" s="9">
        <f t="shared" si="3"/>
        <v>52</v>
      </c>
      <c r="AF13" s="8" t="s">
        <v>18</v>
      </c>
      <c r="AG13" s="8" t="s">
        <v>18</v>
      </c>
      <c r="AH13" s="255" t="s">
        <v>29</v>
      </c>
      <c r="AI13" s="8" t="s">
        <v>18</v>
      </c>
      <c r="AJ13" s="258" t="s">
        <v>23</v>
      </c>
      <c r="AK13" s="233" t="s">
        <v>41</v>
      </c>
      <c r="AL13" s="8" t="s">
        <v>41</v>
      </c>
      <c r="AM13" s="9">
        <f t="shared" si="4"/>
        <v>20</v>
      </c>
      <c r="AN13" s="8"/>
      <c r="AO13" s="8"/>
      <c r="AP13" s="8"/>
      <c r="AQ13" s="8"/>
      <c r="AR13" s="8"/>
      <c r="AS13" s="8"/>
      <c r="AT13" s="11"/>
      <c r="AU13" s="9">
        <f t="shared" si="5"/>
        <v>0</v>
      </c>
      <c r="AV13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13,"D")+COUNTIF(I13,"D1")+COUNTIF(I13,"N")+COUNTIF(I13,"N1")+COUNTIF(I13,"Din")+COUNTIF(I13,"D1in")+COUNTIF(I13,"Nin")+COUNTIF(I13,"N1in")+COUNTIF(I13,"DN")+COUNTIF(I13,"TN")+COUNTIF(I13,"NM")+COUNTIF(I13,"DA")+COUNTIF(I13,"DA")+COUNTIF(M13,"D")+COUNTIF(M13,"D1")+COUNTIF(M13,"N")+COUNTIF(M13,"N1")+COUNTIF(M13,"Din")+COUNTIF(M13,"D1in")+COUNTIF(M13,"Nin")+COUNTIF(M13,"N1in")+COUNTIF(M13,"DN")+COUNTIF(M13,"TN")+COUNTIF(M13,"NM")+COUNTIF(M13,"DA")+COUNTIF(M13,"DA")+COUNTIF(U13,"D")+COUNTIF(U13,"D1")+COUNTIF(U13,"N")+COUNTIF(U13,"N1")+COUNTIF(U13,"Din")+COUNTIF(U13,"D1in")+COUNTIF(U13,"Nin")+COUNTIF(U13,"N1in")+COUNTIF(U13,"DN")+COUNTIF(U13,"TN")+COUNTIF(U13,"NM")+COUNTIF(U13,"DA")+COUNTIF(U13,"DA")+COUNTIF(AS13,"D")+COUNTIF(AS13,"D1")+COUNTIF(AS13,"N")+COUNTIF(AS13,"N1")+COUNTIF(AS13,"Din")+COUNTIF(AS13,"D1in")+COUNTIF(AS13,"Nin")+COUNTIF(AS13,"N1in")+COUNTIF(AS13,"DN")+COUNTIF(AS13,"TN")+COUNTIF(AS13,"NM")+COUNTIF(AS13,"DA")+COUNTIF(AS13,"DA")</f>
        <v>#REF!</v>
      </c>
      <c r="AW13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13,"D")+COUNTIF(J13,"D1")+COUNTIF(J13,"N")+COUNTIF(J13,"N1")+COUNTIF(J13,"Din")+COUNTIF(J13,"D1in")+COUNTIF(J13,"Nin")+COUNTIF(J13,"N1in")+COUNTIF(J13,"DN")+COUNTIF(J13,"TN")+COUNTIF(J13,"NM")+COUNTIF(J13,"DA")+COUNTIF(J13,"DA")+COUNTIF(N13,"D")+COUNTIF(N13,"D1")+COUNTIF(N13,"N")+COUNTIF(N13,"N1")+COUNTIF(N13,"Din")+COUNTIF(N13,"D1in")+COUNTIF(N13,"Nin")+COUNTIF(N13,"N1in")+COUNTIF(N13,"DN")+COUNTIF(N13,"TN")+COUNTIF(N13,"NM")+COUNTIF(N13,"DA")+COUNTIF(N13,"DA")+COUNTIF(V13,"D")+COUNTIF(V13,"D1")+COUNTIF(V13,"N")+COUNTIF(V13,"N1")+COUNTIF(V13,"Din")+COUNTIF(V13,"D1in")+COUNTIF(V13,"Nin")+COUNTIF(V13,"N1in")+COUNTIF(V13,"DN")+COUNTIF(V13,"TN")+COUNTIF(V13,"NM")+COUNTIF(V13,"DA")+COUNTIF(V13,"DA")+COUNTIF(AT13,"D")+COUNTIF(AT13,"D1")+COUNTIF(AT13,"N")+COUNTIF(AT13,"N1")+COUNTIF(AT13,"Din")+COUNTIF(AT13,"D1in")+COUNTIF(AT13,"Nin")+COUNTIF(AT13,"N1in")+COUNTIF(AT13,"DN")+COUNTIF(AT13,"TN")+COUNTIF(AT13,"NM")+COUNTIF(AT13,"DA")+COUNTIF(AT13,"DA")</f>
        <v>#REF!</v>
      </c>
      <c r="AX13" s="8" t="s">
        <v>18</v>
      </c>
      <c r="AY13" s="258" t="s">
        <v>23</v>
      </c>
      <c r="AZ13" s="8" t="s">
        <v>18</v>
      </c>
      <c r="BA13" s="258" t="s">
        <v>23</v>
      </c>
      <c r="BB13" s="8" t="s">
        <v>18</v>
      </c>
      <c r="BC13" s="256" t="s">
        <v>23</v>
      </c>
      <c r="BD13" s="271" t="s">
        <v>18</v>
      </c>
      <c r="BE13" s="9">
        <f t="shared" si="6"/>
        <v>36</v>
      </c>
    </row>
    <row r="14" spans="1:57" ht="21" customHeight="1" x14ac:dyDescent="0.25">
      <c r="A14" s="4">
        <v>5</v>
      </c>
      <c r="B14" s="5" t="s">
        <v>32</v>
      </c>
      <c r="C14" s="6">
        <v>1090517140</v>
      </c>
      <c r="D14" s="233" t="s">
        <v>18</v>
      </c>
      <c r="E14" s="233" t="s">
        <v>26</v>
      </c>
      <c r="F14" s="233" t="s">
        <v>18</v>
      </c>
      <c r="G14" s="233" t="s">
        <v>29</v>
      </c>
      <c r="H14" s="233" t="s">
        <v>26</v>
      </c>
      <c r="I14" s="233" t="s">
        <v>18</v>
      </c>
      <c r="J14" s="233" t="s">
        <v>23</v>
      </c>
      <c r="K14" s="234">
        <f t="shared" si="0"/>
        <v>44</v>
      </c>
      <c r="L14" s="235" t="s">
        <v>18</v>
      </c>
      <c r="M14" s="235" t="s">
        <v>41</v>
      </c>
      <c r="N14" s="235" t="s">
        <v>41</v>
      </c>
      <c r="O14" s="192">
        <f t="shared" si="1"/>
        <v>0</v>
      </c>
      <c r="P14" s="259" t="s">
        <v>41</v>
      </c>
      <c r="Q14" s="259" t="s">
        <v>41</v>
      </c>
      <c r="R14" s="8" t="s">
        <v>41</v>
      </c>
      <c r="S14" s="8" t="s">
        <v>41</v>
      </c>
      <c r="T14" s="8" t="s">
        <v>41</v>
      </c>
      <c r="U14" s="255" t="s">
        <v>25</v>
      </c>
      <c r="V14" s="8" t="s">
        <v>18</v>
      </c>
      <c r="W14" s="9">
        <f t="shared" si="2"/>
        <v>8</v>
      </c>
      <c r="X14" s="255" t="s">
        <v>29</v>
      </c>
      <c r="Y14" s="267" t="s">
        <v>23</v>
      </c>
      <c r="Z14" s="256" t="s">
        <v>26</v>
      </c>
      <c r="AA14" s="8" t="s">
        <v>18</v>
      </c>
      <c r="AB14" s="8" t="s">
        <v>18</v>
      </c>
      <c r="AC14" s="256" t="s">
        <v>26</v>
      </c>
      <c r="AD14" s="8" t="s">
        <v>18</v>
      </c>
      <c r="AE14" s="9">
        <f t="shared" si="3"/>
        <v>44</v>
      </c>
      <c r="AF14" s="255" t="s">
        <v>29</v>
      </c>
      <c r="AG14" s="238" t="s">
        <v>21</v>
      </c>
      <c r="AH14" s="238" t="s">
        <v>21</v>
      </c>
      <c r="AI14" s="238" t="s">
        <v>21</v>
      </c>
      <c r="AJ14" s="238" t="s">
        <v>21</v>
      </c>
      <c r="AK14" s="238" t="s">
        <v>21</v>
      </c>
      <c r="AL14" s="238" t="s">
        <v>21</v>
      </c>
      <c r="AM14" s="9">
        <f t="shared" si="4"/>
        <v>8</v>
      </c>
      <c r="AN14" s="11"/>
      <c r="AO14" s="11"/>
      <c r="AP14" s="11"/>
      <c r="AQ14" s="11"/>
      <c r="AR14" s="11"/>
      <c r="AS14" s="11"/>
      <c r="AT14" s="11"/>
      <c r="AU14" s="9"/>
      <c r="AV14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14,"D")+COUNTIF(I14,"D1")+COUNTIF(I14,"N")+COUNTIF(I14,"N1")+COUNTIF(I14,"Din")+COUNTIF(I14,"D1in")+COUNTIF(I14,"Nin")+COUNTIF(I14,"N1in")+COUNTIF(I14,"DN")+COUNTIF(I14,"TN")+COUNTIF(I14,"NM")+COUNTIF(I14,"DA")+COUNTIF(I14,"DA")+COUNTIF(M14,"D")+COUNTIF(M14,"D1")+COUNTIF(M14,"N")+COUNTIF(M14,"N1")+COUNTIF(M14,"Din")+COUNTIF(M14,"D1in")+COUNTIF(M14,"Nin")+COUNTIF(M14,"N1in")+COUNTIF(M14,"DN")+COUNTIF(M14,"TN")+COUNTIF(M14,"NM")+COUNTIF(M14,"DA")+COUNTIF(M14,"DA")+COUNTIF(U14,"D")+COUNTIF(U14,"D1")+COUNTIF(U14,"N")+COUNTIF(U14,"N1")+COUNTIF(U14,"Din")+COUNTIF(U14,"D1in")+COUNTIF(U14,"Nin")+COUNTIF(U14,"N1in")+COUNTIF(U14,"DN")+COUNTIF(U14,"TN")+COUNTIF(U14,"NM")+COUNTIF(U14,"DA")+COUNTIF(U14,"DA")+COUNTIF(AS14,"D")+COUNTIF(AS14,"D1")+COUNTIF(AS14,"N")+COUNTIF(AS14,"N1")+COUNTIF(AS14,"Din")+COUNTIF(AS14,"D1in")+COUNTIF(AS14,"Nin")+COUNTIF(AS14,"N1in")+COUNTIF(AS14,"DN")+COUNTIF(AS14,"TN")+COUNTIF(AS14,"NM")+COUNTIF(AS14,"DA")+COUNTIF(AS14,"DA")</f>
        <v>#REF!</v>
      </c>
      <c r="AW14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14,"D")+COUNTIF(J14,"D1")+COUNTIF(J14,"N")+COUNTIF(J14,"N1")+COUNTIF(J14,"Din")+COUNTIF(J14,"D1in")+COUNTIF(J14,"Nin")+COUNTIF(J14,"N1in")+COUNTIF(J14,"DN")+COUNTIF(J14,"TN")+COUNTIF(J14,"NM")+COUNTIF(J14,"DA")+COUNTIF(J14,"DA")+COUNTIF(N14,"D")+COUNTIF(N14,"D1")+COUNTIF(N14,"N")+COUNTIF(N14,"N1")+COUNTIF(N14,"Din")+COUNTIF(N14,"D1in")+COUNTIF(N14,"Nin")+COUNTIF(N14,"N1in")+COUNTIF(N14,"DN")+COUNTIF(N14,"TN")+COUNTIF(N14,"NM")+COUNTIF(N14,"DA")+COUNTIF(N14,"DA")+COUNTIF(V14,"D")+COUNTIF(V14,"D1")+COUNTIF(V14,"N")+COUNTIF(V14,"N1")+COUNTIF(V14,"Din")+COUNTIF(V14,"D1in")+COUNTIF(V14,"Nin")+COUNTIF(V14,"N1in")+COUNTIF(V14,"DN")+COUNTIF(V14,"TN")+COUNTIF(V14,"NM")+COUNTIF(V14,"DA")+COUNTIF(V14,"DA")+COUNTIF(AT14,"D")+COUNTIF(AT14,"D1")+COUNTIF(AT14,"N")+COUNTIF(AT14,"N1")+COUNTIF(AT14,"Din")+COUNTIF(AT14,"D1in")+COUNTIF(AT14,"Nin")+COUNTIF(AT14,"N1in")+COUNTIF(AT14,"DN")+COUNTIF(AT14,"TN")+COUNTIF(AT14,"NM")+COUNTIF(AT14,"DA")+COUNTIF(AT14,"DA")</f>
        <v>#REF!</v>
      </c>
      <c r="AX14" s="238" t="s">
        <v>21</v>
      </c>
      <c r="AY14" s="238" t="s">
        <v>21</v>
      </c>
      <c r="AZ14" s="238" t="s">
        <v>21</v>
      </c>
      <c r="BA14" s="238" t="s">
        <v>21</v>
      </c>
      <c r="BB14" s="238" t="s">
        <v>21</v>
      </c>
      <c r="BC14" s="238" t="s">
        <v>21</v>
      </c>
      <c r="BD14" s="238" t="s">
        <v>21</v>
      </c>
      <c r="BE14" s="9">
        <f t="shared" si="6"/>
        <v>0</v>
      </c>
    </row>
    <row r="15" spans="1:57" ht="21" customHeight="1" x14ac:dyDescent="0.25">
      <c r="A15" s="4">
        <v>6</v>
      </c>
      <c r="B15" s="237" t="s">
        <v>33</v>
      </c>
      <c r="C15" s="6">
        <v>29689030</v>
      </c>
      <c r="D15" s="233" t="s">
        <v>23</v>
      </c>
      <c r="E15" s="233" t="s">
        <v>18</v>
      </c>
      <c r="F15" s="233" t="s">
        <v>26</v>
      </c>
      <c r="G15" s="233" t="s">
        <v>18</v>
      </c>
      <c r="H15" s="233" t="s">
        <v>27</v>
      </c>
      <c r="I15" s="233" t="s">
        <v>18</v>
      </c>
      <c r="J15" s="233" t="s">
        <v>26</v>
      </c>
      <c r="K15" s="234">
        <f t="shared" si="0"/>
        <v>44</v>
      </c>
      <c r="L15" s="235" t="s">
        <v>23</v>
      </c>
      <c r="M15" s="235" t="s">
        <v>29</v>
      </c>
      <c r="N15" s="235" t="s">
        <v>18</v>
      </c>
      <c r="O15" s="192">
        <f t="shared" si="1"/>
        <v>20</v>
      </c>
      <c r="P15" s="258" t="s">
        <v>23</v>
      </c>
      <c r="Q15" s="254" t="s">
        <v>26</v>
      </c>
      <c r="R15" s="8" t="s">
        <v>18</v>
      </c>
      <c r="S15" s="260" t="s">
        <v>26</v>
      </c>
      <c r="T15" s="8" t="s">
        <v>18</v>
      </c>
      <c r="U15" s="8" t="s">
        <v>18</v>
      </c>
      <c r="V15" s="255" t="s">
        <v>29</v>
      </c>
      <c r="W15" s="9">
        <f t="shared" si="2"/>
        <v>44</v>
      </c>
      <c r="X15" s="256" t="s">
        <v>26</v>
      </c>
      <c r="Y15" s="8" t="s">
        <v>18</v>
      </c>
      <c r="Z15" s="8" t="s">
        <v>18</v>
      </c>
      <c r="AA15" s="256" t="s">
        <v>23</v>
      </c>
      <c r="AB15" s="254" t="s">
        <v>26</v>
      </c>
      <c r="AC15" s="8" t="s">
        <v>18</v>
      </c>
      <c r="AD15" s="255" t="s">
        <v>25</v>
      </c>
      <c r="AE15" s="9">
        <f t="shared" si="3"/>
        <v>44</v>
      </c>
      <c r="AF15" s="8" t="s">
        <v>18</v>
      </c>
      <c r="AG15" s="258" t="s">
        <v>23</v>
      </c>
      <c r="AH15" s="274" t="s">
        <v>18</v>
      </c>
      <c r="AI15" s="255" t="s">
        <v>25</v>
      </c>
      <c r="AJ15" s="8" t="s">
        <v>18</v>
      </c>
      <c r="AK15" s="257" t="s">
        <v>23</v>
      </c>
      <c r="AL15" s="257" t="s">
        <v>23</v>
      </c>
      <c r="AM15" s="9">
        <f t="shared" si="4"/>
        <v>44</v>
      </c>
      <c r="AN15" s="8"/>
      <c r="AO15" s="8"/>
      <c r="AP15" s="8"/>
      <c r="AQ15" s="8"/>
      <c r="AR15" s="8"/>
      <c r="AS15" s="8"/>
      <c r="AT15" s="11"/>
      <c r="AU15" s="9">
        <f t="shared" ref="AU15:AU18" si="7">COUNTIF(AN15:AT15,"D")*12+COUNTIF(AN15:AT15,"D1")*11+COUNTIF(AN15:AT15,"N")*12+COUNTIF(AN15:AT15,"N1")*11+COUNTIF(AN15:AT15,"Din")*12+COUNTIF(AN15:AT15,"D1in")*11+COUNTIF(AN15:AT15,"Nin")*12+COUNTIF(AN15:AT15,"N1in")*11+COUNTIF(AN15:AT15,"DN")*24+COUNTIF(AN15:AT15,"TN")*18+COUNTIF(AN15:AT15,"NM")*18+COUNTIF(AN15:AT15,"DA")*9.5+COUNTIF(AN15:AT15,"DA")*9+COUNTIF(AN15:AT15,"DE")*12+COUNTIF(AN15:AT15,"D2")*11</f>
        <v>0</v>
      </c>
      <c r="AV1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15,"D")+COUNTIF(I15,"D1")+COUNTIF(I15,"N")+COUNTIF(I15,"N1")+COUNTIF(I15,"Din")+COUNTIF(I15,"D1in")+COUNTIF(I15,"Nin")+COUNTIF(I15,"N1in")+COUNTIF(I15,"DN")+COUNTIF(I15,"TN")+COUNTIF(I15,"NM")+COUNTIF(I15,"DA")+COUNTIF(I15,"DA")+COUNTIF(M15,"D")+COUNTIF(M15,"D1")+COUNTIF(M15,"N")+COUNTIF(M15,"N1")+COUNTIF(M15,"Din")+COUNTIF(M15,"D1in")+COUNTIF(M15,"Nin")+COUNTIF(M15,"N1in")+COUNTIF(M15,"DN")+COUNTIF(M15,"TN")+COUNTIF(M15,"NM")+COUNTIF(M15,"DA")+COUNTIF(M15,"DA")+COUNTIF(U15,"D")+COUNTIF(U15,"D1")+COUNTIF(U15,"N")+COUNTIF(U15,"N1")+COUNTIF(U15,"Din")+COUNTIF(U15,"D1in")+COUNTIF(U15,"Nin")+COUNTIF(U15,"N1in")+COUNTIF(U15,"DN")+COUNTIF(U15,"TN")+COUNTIF(U15,"NM")+COUNTIF(U15,"DA")+COUNTIF(U15,"DA")+COUNTIF(AS15,"D")+COUNTIF(AS15,"D1")+COUNTIF(AS15,"N")+COUNTIF(AS15,"N1")+COUNTIF(AS15,"Din")+COUNTIF(AS15,"D1in")+COUNTIF(AS15,"Nin")+COUNTIF(AS15,"N1in")+COUNTIF(AS15,"DN")+COUNTIF(AS15,"TN")+COUNTIF(AS15,"NM")+COUNTIF(AS15,"DA")+COUNTIF(AS15,"DA")</f>
        <v>#REF!</v>
      </c>
      <c r="AW1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15,"D")+COUNTIF(J15,"D1")+COUNTIF(J15,"N")+COUNTIF(J15,"N1")+COUNTIF(J15,"Din")+COUNTIF(J15,"D1in")+COUNTIF(J15,"Nin")+COUNTIF(J15,"N1in")+COUNTIF(J15,"DN")+COUNTIF(J15,"TN")+COUNTIF(J15,"NM")+COUNTIF(J15,"DA")+COUNTIF(J15,"DA")+COUNTIF(N15,"D")+COUNTIF(N15,"D1")+COUNTIF(N15,"N")+COUNTIF(N15,"N1")+COUNTIF(N15,"Din")+COUNTIF(N15,"D1in")+COUNTIF(N15,"Nin")+COUNTIF(N15,"N1in")+COUNTIF(N15,"DN")+COUNTIF(N15,"TN")+COUNTIF(N15,"NM")+COUNTIF(N15,"DA")+COUNTIF(N15,"DA")+COUNTIF(V15,"D")+COUNTIF(V15,"D1")+COUNTIF(V15,"N")+COUNTIF(V15,"N1")+COUNTIF(V15,"Din")+COUNTIF(V15,"D1in")+COUNTIF(V15,"Nin")+COUNTIF(V15,"N1in")+COUNTIF(V15,"DN")+COUNTIF(V15,"TN")+COUNTIF(V15,"NM")+COUNTIF(V15,"DA")+COUNTIF(V15,"DA")+COUNTIF(AT15,"D")+COUNTIF(AT15,"D1")+COUNTIF(AT15,"N")+COUNTIF(AT15,"N1")+COUNTIF(AT15,"Din")+COUNTIF(AT15,"D1in")+COUNTIF(AT15,"Nin")+COUNTIF(AT15,"N1in")+COUNTIF(AT15,"DN")+COUNTIF(AT15,"TN")+COUNTIF(AT15,"NM")+COUNTIF(AT15,"DA")+COUNTIF(AT15,"DA")</f>
        <v>#REF!</v>
      </c>
      <c r="AX15" s="255" t="s">
        <v>25</v>
      </c>
      <c r="AY15" s="8" t="s">
        <v>18</v>
      </c>
      <c r="AZ15" s="8" t="s">
        <v>18</v>
      </c>
      <c r="BA15" s="8" t="s">
        <v>18</v>
      </c>
      <c r="BB15" s="257" t="s">
        <v>23</v>
      </c>
      <c r="BC15" s="257" t="s">
        <v>23</v>
      </c>
      <c r="BD15" s="257" t="s">
        <v>26</v>
      </c>
      <c r="BE15" s="9">
        <f t="shared" si="6"/>
        <v>44</v>
      </c>
    </row>
    <row r="16" spans="1:57" ht="21" customHeight="1" x14ac:dyDescent="0.25">
      <c r="A16" s="4">
        <v>7</v>
      </c>
      <c r="B16" s="5" t="s">
        <v>34</v>
      </c>
      <c r="C16" s="6">
        <v>29665922</v>
      </c>
      <c r="D16" s="238" t="s">
        <v>21</v>
      </c>
      <c r="E16" s="238" t="s">
        <v>21</v>
      </c>
      <c r="F16" s="238" t="s">
        <v>21</v>
      </c>
      <c r="G16" s="238" t="s">
        <v>21</v>
      </c>
      <c r="H16" s="238" t="s">
        <v>21</v>
      </c>
      <c r="I16" s="238" t="s">
        <v>21</v>
      </c>
      <c r="J16" s="238" t="s">
        <v>21</v>
      </c>
      <c r="K16" s="234">
        <f t="shared" si="0"/>
        <v>0</v>
      </c>
      <c r="L16" s="235" t="s">
        <v>26</v>
      </c>
      <c r="M16" s="235" t="s">
        <v>18</v>
      </c>
      <c r="N16" s="235" t="s">
        <v>18</v>
      </c>
      <c r="O16" s="192">
        <f t="shared" si="1"/>
        <v>12</v>
      </c>
      <c r="P16" s="254" t="s">
        <v>23</v>
      </c>
      <c r="Q16" s="255" t="s">
        <v>25</v>
      </c>
      <c r="R16" s="8" t="s">
        <v>18</v>
      </c>
      <c r="S16" s="257" t="s">
        <v>23</v>
      </c>
      <c r="T16" s="8" t="s">
        <v>18</v>
      </c>
      <c r="U16" s="257" t="s">
        <v>26</v>
      </c>
      <c r="V16" s="8" t="s">
        <v>18</v>
      </c>
      <c r="W16" s="9">
        <f t="shared" si="2"/>
        <v>44</v>
      </c>
      <c r="X16" s="257" t="s">
        <v>26</v>
      </c>
      <c r="Y16" s="8" t="s">
        <v>18</v>
      </c>
      <c r="Z16" s="8" t="s">
        <v>18</v>
      </c>
      <c r="AA16" s="257" t="s">
        <v>23</v>
      </c>
      <c r="AB16" s="255" t="s">
        <v>27</v>
      </c>
      <c r="AC16" s="8" t="s">
        <v>18</v>
      </c>
      <c r="AD16" s="258" t="s">
        <v>26</v>
      </c>
      <c r="AE16" s="9">
        <f t="shared" si="3"/>
        <v>44</v>
      </c>
      <c r="AF16" s="258" t="s">
        <v>26</v>
      </c>
      <c r="AG16" s="8" t="s">
        <v>18</v>
      </c>
      <c r="AH16" s="258" t="s">
        <v>23</v>
      </c>
      <c r="AI16" s="8" t="s">
        <v>18</v>
      </c>
      <c r="AJ16" s="255" t="s">
        <v>29</v>
      </c>
      <c r="AK16" s="256" t="s">
        <v>23</v>
      </c>
      <c r="AL16" s="8" t="s">
        <v>18</v>
      </c>
      <c r="AM16" s="9">
        <f t="shared" si="4"/>
        <v>44</v>
      </c>
      <c r="AN16" s="8"/>
      <c r="AO16" s="8"/>
      <c r="AP16" s="8"/>
      <c r="AQ16" s="8"/>
      <c r="AR16" s="8"/>
      <c r="AS16" s="8"/>
      <c r="AT16" s="11"/>
      <c r="AU16" s="9">
        <f t="shared" si="7"/>
        <v>0</v>
      </c>
      <c r="AV16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16,"D")+COUNTIF(I16,"D1")+COUNTIF(I16,"N")+COUNTIF(I16,"N1")+COUNTIF(I16,"Din")+COUNTIF(I16,"D1in")+COUNTIF(I16,"Nin")+COUNTIF(I16,"N1in")+COUNTIF(I16,"DN")+COUNTIF(I16,"TN")+COUNTIF(I16,"NM")+COUNTIF(I16,"DA")+COUNTIF(I16,"DA")+COUNTIF(M16,"D")+COUNTIF(M16,"D1")+COUNTIF(M16,"N")+COUNTIF(M16,"N1")+COUNTIF(M16,"Din")+COUNTIF(M16,"D1in")+COUNTIF(M16,"Nin")+COUNTIF(M16,"N1in")+COUNTIF(M16,"DN")+COUNTIF(M16,"TN")+COUNTIF(M16,"NM")+COUNTIF(M16,"DA")+COUNTIF(M16,"DA")+COUNTIF(U16,"D")+COUNTIF(U16,"D1")+COUNTIF(U16,"N")+COUNTIF(U16,"N1")+COUNTIF(U16,"Din")+COUNTIF(U16,"D1in")+COUNTIF(U16,"Nin")+COUNTIF(U16,"N1in")+COUNTIF(U16,"DN")+COUNTIF(U16,"TN")+COUNTIF(U16,"NM")+COUNTIF(U16,"DA")+COUNTIF(U16,"DA")+COUNTIF(AS16,"D")+COUNTIF(AS16,"D1")+COUNTIF(AS16,"N")+COUNTIF(AS16,"N1")+COUNTIF(AS16,"Din")+COUNTIF(AS16,"D1in")+COUNTIF(AS16,"Nin")+COUNTIF(AS16,"N1in")+COUNTIF(AS16,"DN")+COUNTIF(AS16,"TN")+COUNTIF(AS16,"NM")+COUNTIF(AS16,"DA")+COUNTIF(AS16,"DA")</f>
        <v>#REF!</v>
      </c>
      <c r="AW16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16,"D")+COUNTIF(J16,"D1")+COUNTIF(J16,"N")+COUNTIF(J16,"N1")+COUNTIF(J16,"Din")+COUNTIF(J16,"D1in")+COUNTIF(J16,"Nin")+COUNTIF(J16,"N1in")+COUNTIF(J16,"DN")+COUNTIF(J16,"TN")+COUNTIF(J16,"NM")+COUNTIF(J16,"DA")+COUNTIF(J16,"DA")+COUNTIF(N16,"D")+COUNTIF(N16,"D1")+COUNTIF(N16,"N")+COUNTIF(N16,"N1")+COUNTIF(N16,"Din")+COUNTIF(N16,"D1in")+COUNTIF(N16,"Nin")+COUNTIF(N16,"N1in")+COUNTIF(N16,"DN")+COUNTIF(N16,"TN")+COUNTIF(N16,"NM")+COUNTIF(N16,"DA")+COUNTIF(N16,"DA")+COUNTIF(V16,"D")+COUNTIF(V16,"D1")+COUNTIF(V16,"N")+COUNTIF(V16,"N1")+COUNTIF(V16,"Din")+COUNTIF(V16,"D1in")+COUNTIF(V16,"Nin")+COUNTIF(V16,"N1in")+COUNTIF(V16,"DN")+COUNTIF(V16,"TN")+COUNTIF(V16,"NM")+COUNTIF(V16,"DA")+COUNTIF(V16,"DA")+COUNTIF(AT16,"D")+COUNTIF(AT16,"D1")+COUNTIF(AT16,"N")+COUNTIF(AT16,"N1")+COUNTIF(AT16,"Din")+COUNTIF(AT16,"D1in")+COUNTIF(AT16,"Nin")+COUNTIF(AT16,"N1in")+COUNTIF(AT16,"DN")+COUNTIF(AT16,"TN")+COUNTIF(AT16,"NM")+COUNTIF(AT16,"DA")+COUNTIF(AT16,"DA")</f>
        <v>#REF!</v>
      </c>
      <c r="AX16" s="255" t="s">
        <v>29</v>
      </c>
      <c r="AY16" s="254" t="s">
        <v>26</v>
      </c>
      <c r="AZ16" s="8" t="s">
        <v>18</v>
      </c>
      <c r="BA16" s="257" t="s">
        <v>23</v>
      </c>
      <c r="BB16" s="8" t="s">
        <v>18</v>
      </c>
      <c r="BC16" s="258" t="s">
        <v>26</v>
      </c>
      <c r="BD16" s="8" t="s">
        <v>18</v>
      </c>
      <c r="BE16" s="9">
        <f t="shared" si="6"/>
        <v>44</v>
      </c>
    </row>
    <row r="17" spans="1:57" ht="21" customHeight="1" x14ac:dyDescent="0.25">
      <c r="A17" s="4">
        <v>8</v>
      </c>
      <c r="B17" s="5" t="s">
        <v>35</v>
      </c>
      <c r="C17" s="6">
        <v>1113680047</v>
      </c>
      <c r="D17" s="233" t="s">
        <v>18</v>
      </c>
      <c r="E17" s="233" t="s">
        <v>29</v>
      </c>
      <c r="F17" s="233" t="s">
        <v>23</v>
      </c>
      <c r="G17" s="233" t="s">
        <v>26</v>
      </c>
      <c r="H17" s="233" t="s">
        <v>18</v>
      </c>
      <c r="I17" s="233" t="s">
        <v>18</v>
      </c>
      <c r="J17" s="233" t="s">
        <v>26</v>
      </c>
      <c r="K17" s="234">
        <f t="shared" si="0"/>
        <v>44</v>
      </c>
      <c r="L17" s="235" t="s">
        <v>18</v>
      </c>
      <c r="M17" s="235" t="s">
        <v>26</v>
      </c>
      <c r="N17" s="235" t="s">
        <v>18</v>
      </c>
      <c r="O17" s="192">
        <f t="shared" si="1"/>
        <v>12</v>
      </c>
      <c r="P17" s="8" t="s">
        <v>18</v>
      </c>
      <c r="Q17" s="255" t="s">
        <v>27</v>
      </c>
      <c r="R17" s="258" t="s">
        <v>23</v>
      </c>
      <c r="S17" s="8" t="s">
        <v>18</v>
      </c>
      <c r="T17" s="254" t="s">
        <v>26</v>
      </c>
      <c r="U17" s="8" t="s">
        <v>18</v>
      </c>
      <c r="V17" s="256" t="s">
        <v>23</v>
      </c>
      <c r="W17" s="9">
        <f t="shared" si="2"/>
        <v>44</v>
      </c>
      <c r="X17" s="268" t="s">
        <v>36</v>
      </c>
      <c r="Y17" s="238" t="s">
        <v>21</v>
      </c>
      <c r="Z17" s="238" t="s">
        <v>21</v>
      </c>
      <c r="AA17" s="238" t="s">
        <v>21</v>
      </c>
      <c r="AB17" s="238" t="s">
        <v>21</v>
      </c>
      <c r="AC17" s="238" t="s">
        <v>21</v>
      </c>
      <c r="AD17" s="238" t="s">
        <v>21</v>
      </c>
      <c r="AE17" s="9">
        <f t="shared" si="3"/>
        <v>0</v>
      </c>
      <c r="AF17" s="238" t="s">
        <v>21</v>
      </c>
      <c r="AG17" s="238" t="s">
        <v>21</v>
      </c>
      <c r="AH17" s="238" t="s">
        <v>21</v>
      </c>
      <c r="AI17" s="238" t="s">
        <v>21</v>
      </c>
      <c r="AJ17" s="238" t="s">
        <v>21</v>
      </c>
      <c r="AK17" s="238" t="s">
        <v>21</v>
      </c>
      <c r="AL17" s="238" t="s">
        <v>21</v>
      </c>
      <c r="AM17" s="9">
        <f t="shared" si="4"/>
        <v>0</v>
      </c>
      <c r="AN17" s="8"/>
      <c r="AO17" s="8"/>
      <c r="AP17" s="8"/>
      <c r="AQ17" s="8"/>
      <c r="AR17" s="8"/>
      <c r="AS17" s="8"/>
      <c r="AT17" s="11"/>
      <c r="AU17" s="9">
        <f t="shared" si="7"/>
        <v>0</v>
      </c>
      <c r="AV17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17,"D")+COUNTIF(I17,"D1")+COUNTIF(I17,"N")+COUNTIF(I17,"N1")+COUNTIF(I17,"Din")+COUNTIF(I17,"D1in")+COUNTIF(I17,"Nin")+COUNTIF(I17,"N1in")+COUNTIF(I17,"DN")+COUNTIF(I17,"TN")+COUNTIF(I17,"NM")+COUNTIF(I17,"DA")+COUNTIF(I17,"DA")+COUNTIF(M17,"D")+COUNTIF(M17,"D1")+COUNTIF(M17,"N")+COUNTIF(M17,"N1")+COUNTIF(M17,"Din")+COUNTIF(M17,"D1in")+COUNTIF(M17,"Nin")+COUNTIF(M17,"N1in")+COUNTIF(M17,"DN")+COUNTIF(M17,"TN")+COUNTIF(M17,"NM")+COUNTIF(M17,"DA")+COUNTIF(M17,"DA")+COUNTIF(U17,"D")+COUNTIF(U17,"D1")+COUNTIF(U17,"N")+COUNTIF(U17,"N1")+COUNTIF(U17,"Din")+COUNTIF(U17,"D1in")+COUNTIF(U17,"Nin")+COUNTIF(U17,"N1in")+COUNTIF(U17,"DN")+COUNTIF(U17,"TN")+COUNTIF(U17,"NM")+COUNTIF(U17,"DA")+COUNTIF(U17,"DA")+COUNTIF(AS17,"D")+COUNTIF(AS17,"D1")+COUNTIF(AS17,"N")+COUNTIF(AS17,"N1")+COUNTIF(AS17,"Din")+COUNTIF(AS17,"D1in")+COUNTIF(AS17,"Nin")+COUNTIF(AS17,"N1in")+COUNTIF(AS17,"DN")+COUNTIF(AS17,"TN")+COUNTIF(AS17,"NM")+COUNTIF(AS17,"DA")+COUNTIF(AS17,"DA")</f>
        <v>#REF!</v>
      </c>
      <c r="AW17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17,"D")+COUNTIF(J17,"D1")+COUNTIF(J17,"N")+COUNTIF(J17,"N1")+COUNTIF(J17,"Din")+COUNTIF(J17,"D1in")+COUNTIF(J17,"Nin")+COUNTIF(J17,"N1in")+COUNTIF(J17,"DN")+COUNTIF(J17,"TN")+COUNTIF(J17,"NM")+COUNTIF(J17,"DA")+COUNTIF(J17,"DA")+COUNTIF(N17,"D")+COUNTIF(N17,"D1")+COUNTIF(N17,"N")+COUNTIF(N17,"N1")+COUNTIF(N17,"Din")+COUNTIF(N17,"D1in")+COUNTIF(N17,"Nin")+COUNTIF(N17,"N1in")+COUNTIF(N17,"DN")+COUNTIF(N17,"TN")+COUNTIF(N17,"NM")+COUNTIF(N17,"DA")+COUNTIF(N17,"DA")+COUNTIF(V17,"D")+COUNTIF(V17,"D1")+COUNTIF(V17,"N")+COUNTIF(V17,"N1")+COUNTIF(V17,"Din")+COUNTIF(V17,"D1in")+COUNTIF(V17,"Nin")+COUNTIF(V17,"N1in")+COUNTIF(V17,"DN")+COUNTIF(V17,"TN")+COUNTIF(V17,"NM")+COUNTIF(V17,"DA")+COUNTIF(V17,"DA")+COUNTIF(AT17,"D")+COUNTIF(AT17,"D1")+COUNTIF(AT17,"N")+COUNTIF(AT17,"N1")+COUNTIF(AT17,"Din")+COUNTIF(AT17,"D1in")+COUNTIF(AT17,"Nin")+COUNTIF(AT17,"N1in")+COUNTIF(AT17,"DN")+COUNTIF(AT17,"TN")+COUNTIF(AT17,"NM")+COUNTIF(AT17,"DA")+COUNTIF(AT17,"DA")</f>
        <v>#REF!</v>
      </c>
      <c r="AX17" s="238" t="s">
        <v>21</v>
      </c>
      <c r="AY17" s="238" t="s">
        <v>21</v>
      </c>
      <c r="AZ17" s="238" t="s">
        <v>21</v>
      </c>
      <c r="BA17" s="238" t="s">
        <v>21</v>
      </c>
      <c r="BB17" s="238" t="s">
        <v>21</v>
      </c>
      <c r="BC17" s="238" t="s">
        <v>21</v>
      </c>
      <c r="BD17" s="238" t="s">
        <v>21</v>
      </c>
      <c r="BE17" s="9">
        <f t="shared" si="6"/>
        <v>0</v>
      </c>
    </row>
    <row r="18" spans="1:57" ht="19.5" customHeight="1" x14ac:dyDescent="0.25">
      <c r="A18" s="4" t="s">
        <v>29</v>
      </c>
      <c r="B18" s="5" t="s">
        <v>37</v>
      </c>
      <c r="C18" s="6">
        <v>1113645558</v>
      </c>
      <c r="D18" s="233" t="s">
        <v>18</v>
      </c>
      <c r="E18" s="233" t="s">
        <v>23</v>
      </c>
      <c r="F18" s="233" t="s">
        <v>23</v>
      </c>
      <c r="G18" s="233" t="s">
        <v>26</v>
      </c>
      <c r="H18" s="233" t="s">
        <v>18</v>
      </c>
      <c r="I18" s="233" t="s">
        <v>18</v>
      </c>
      <c r="J18" s="233" t="s">
        <v>26</v>
      </c>
      <c r="K18" s="234">
        <f t="shared" si="0"/>
        <v>48</v>
      </c>
      <c r="L18" s="235" t="s">
        <v>18</v>
      </c>
      <c r="M18" s="235" t="s">
        <v>23</v>
      </c>
      <c r="N18" s="235" t="s">
        <v>26</v>
      </c>
      <c r="O18" s="192">
        <f t="shared" si="1"/>
        <v>24</v>
      </c>
      <c r="P18" s="253" t="s">
        <v>18</v>
      </c>
      <c r="Q18" s="258" t="s">
        <v>23</v>
      </c>
      <c r="R18" s="255" t="s">
        <v>29</v>
      </c>
      <c r="S18" s="233" t="s">
        <v>18</v>
      </c>
      <c r="T18" s="8" t="s">
        <v>18</v>
      </c>
      <c r="U18" s="254" t="s">
        <v>23</v>
      </c>
      <c r="V18" s="254" t="s">
        <v>23</v>
      </c>
      <c r="W18" s="9">
        <f t="shared" si="2"/>
        <v>44</v>
      </c>
      <c r="X18" s="254" t="s">
        <v>26</v>
      </c>
      <c r="Y18" s="8" t="s">
        <v>18</v>
      </c>
      <c r="Z18" s="255" t="s">
        <v>29</v>
      </c>
      <c r="AA18" s="8" t="s">
        <v>18</v>
      </c>
      <c r="AB18" s="8" t="s">
        <v>18</v>
      </c>
      <c r="AC18" s="258" t="s">
        <v>23</v>
      </c>
      <c r="AD18" s="258" t="s">
        <v>23</v>
      </c>
      <c r="AE18" s="9">
        <f t="shared" si="3"/>
        <v>44</v>
      </c>
      <c r="AF18" s="259" t="s">
        <v>18</v>
      </c>
      <c r="AG18" s="256" t="s">
        <v>23</v>
      </c>
      <c r="AH18" s="256" t="s">
        <v>23</v>
      </c>
      <c r="AI18" s="255" t="s">
        <v>29</v>
      </c>
      <c r="AJ18" s="8" t="s">
        <v>18</v>
      </c>
      <c r="AK18" s="8" t="s">
        <v>18</v>
      </c>
      <c r="AL18" s="257" t="s">
        <v>26</v>
      </c>
      <c r="AM18" s="9">
        <f t="shared" si="4"/>
        <v>44</v>
      </c>
      <c r="AN18" s="8"/>
      <c r="AO18" s="8"/>
      <c r="AP18" s="8"/>
      <c r="AQ18" s="8"/>
      <c r="AR18" s="8"/>
      <c r="AS18" s="8"/>
      <c r="AT18" s="11"/>
      <c r="AU18" s="9">
        <f t="shared" si="7"/>
        <v>0</v>
      </c>
      <c r="AV18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18,"D")+COUNTIF(I18,"D1")+COUNTIF(I18,"N")+COUNTIF(I18,"N1")+COUNTIF(I18,"Din")+COUNTIF(I18,"D1in")+COUNTIF(I18,"Nin")+COUNTIF(I18,"N1in")+COUNTIF(I18,"DN")+COUNTIF(I18,"TN")+COUNTIF(I18,"NM")+COUNTIF(I18,"DA")+COUNTIF(I18,"DA")+COUNTIF(M18,"D")+COUNTIF(M18,"D1")+COUNTIF(M18,"N")+COUNTIF(M18,"N1")+COUNTIF(M18,"Din")+COUNTIF(M18,"D1in")+COUNTIF(M18,"Nin")+COUNTIF(M18,"N1in")+COUNTIF(M18,"DN")+COUNTIF(M18,"TN")+COUNTIF(M18,"NM")+COUNTIF(M18,"DA")+COUNTIF(M18,"DA")+COUNTIF(U18,"D")+COUNTIF(U18,"D1")+COUNTIF(U18,"N")+COUNTIF(U18,"N1")+COUNTIF(U18,"Din")+COUNTIF(U18,"D1in")+COUNTIF(U18,"Nin")+COUNTIF(U18,"N1in")+COUNTIF(U18,"DN")+COUNTIF(U18,"TN")+COUNTIF(U18,"NM")+COUNTIF(U18,"DA")+COUNTIF(U18,"DA")+COUNTIF(AS18,"D")+COUNTIF(AS18,"D1")+COUNTIF(AS18,"N")+COUNTIF(AS18,"N1")+COUNTIF(AS18,"Din")+COUNTIF(AS18,"D1in")+COUNTIF(AS18,"Nin")+COUNTIF(AS18,"N1in")+COUNTIF(AS18,"DN")+COUNTIF(AS18,"TN")+COUNTIF(AS18,"NM")+COUNTIF(AS18,"DA")+COUNTIF(AS18,"DA")</f>
        <v>#REF!</v>
      </c>
      <c r="AW18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18,"D")+COUNTIF(J18,"D1")+COUNTIF(J18,"N")+COUNTIF(J18,"N1")+COUNTIF(J18,"Din")+COUNTIF(J18,"D1in")+COUNTIF(J18,"Nin")+COUNTIF(J18,"N1in")+COUNTIF(J18,"DN")+COUNTIF(J18,"TN")+COUNTIF(J18,"NM")+COUNTIF(J18,"DA")+COUNTIF(J18,"DA")+COUNTIF(N18,"D")+COUNTIF(N18,"D1")+COUNTIF(N18,"N")+COUNTIF(N18,"N1")+COUNTIF(N18,"Din")+COUNTIF(N18,"D1in")+COUNTIF(N18,"Nin")+COUNTIF(N18,"N1in")+COUNTIF(N18,"DN")+COUNTIF(N18,"TN")+COUNTIF(N18,"NM")+COUNTIF(N18,"DA")+COUNTIF(N18,"DA")+COUNTIF(V18,"D")+COUNTIF(V18,"D1")+COUNTIF(V18,"N")+COUNTIF(V18,"N1")+COUNTIF(V18,"Din")+COUNTIF(V18,"D1in")+COUNTIF(V18,"Nin")+COUNTIF(V18,"N1in")+COUNTIF(V18,"DN")+COUNTIF(V18,"TN")+COUNTIF(V18,"NM")+COUNTIF(V18,"DA")+COUNTIF(V18,"DA")+COUNTIF(AT18,"D")+COUNTIF(AT18,"D1")+COUNTIF(AT18,"N")+COUNTIF(AT18,"N1")+COUNTIF(AT18,"Din")+COUNTIF(AT18,"D1in")+COUNTIF(AT18,"Nin")+COUNTIF(AT18,"N1in")+COUNTIF(AT18,"DN")+COUNTIF(AT18,"TN")+COUNTIF(AT18,"NM")+COUNTIF(AT18,"DA")+COUNTIF(AT18,"DA")</f>
        <v>#REF!</v>
      </c>
      <c r="AX18" s="8" t="s">
        <v>18</v>
      </c>
      <c r="AY18" s="257" t="s">
        <v>23</v>
      </c>
      <c r="AZ18" s="233" t="s">
        <v>48</v>
      </c>
      <c r="BA18" s="8" t="s">
        <v>18</v>
      </c>
      <c r="BB18" s="8" t="s">
        <v>18</v>
      </c>
      <c r="BC18" s="254" t="s">
        <v>23</v>
      </c>
      <c r="BD18" s="254" t="s">
        <v>26</v>
      </c>
      <c r="BE18" s="9">
        <f t="shared" si="6"/>
        <v>36</v>
      </c>
    </row>
    <row r="19" spans="1:57" ht="21" customHeight="1" x14ac:dyDescent="0.25">
      <c r="A19" s="4">
        <v>10</v>
      </c>
      <c r="B19" s="5" t="s">
        <v>38</v>
      </c>
      <c r="C19" s="6">
        <v>1107052091</v>
      </c>
      <c r="D19" s="233" t="s">
        <v>18</v>
      </c>
      <c r="E19" s="233" t="s">
        <v>23</v>
      </c>
      <c r="F19" s="233" t="s">
        <v>26</v>
      </c>
      <c r="G19" s="233" t="s">
        <v>18</v>
      </c>
      <c r="H19" s="233" t="s">
        <v>18</v>
      </c>
      <c r="I19" s="233" t="s">
        <v>26</v>
      </c>
      <c r="J19" s="233" t="s">
        <v>18</v>
      </c>
      <c r="K19" s="234">
        <f t="shared" si="0"/>
        <v>36</v>
      </c>
      <c r="L19" s="235" t="s">
        <v>27</v>
      </c>
      <c r="M19" s="235" t="s">
        <v>23</v>
      </c>
      <c r="N19" s="235" t="s">
        <v>18</v>
      </c>
      <c r="O19" s="192">
        <f t="shared" si="1"/>
        <v>20</v>
      </c>
      <c r="P19" s="257" t="s">
        <v>23</v>
      </c>
      <c r="Q19" s="255" t="s">
        <v>29</v>
      </c>
      <c r="R19" s="258" t="s">
        <v>26</v>
      </c>
      <c r="S19" s="8" t="s">
        <v>18</v>
      </c>
      <c r="T19" s="258" t="s">
        <v>23</v>
      </c>
      <c r="U19" s="8" t="s">
        <v>18</v>
      </c>
      <c r="V19" s="8" t="s">
        <v>18</v>
      </c>
      <c r="W19" s="9">
        <f t="shared" si="2"/>
        <v>44</v>
      </c>
      <c r="X19" s="258" t="s">
        <v>23</v>
      </c>
      <c r="Y19" s="8" t="s">
        <v>18</v>
      </c>
      <c r="Z19" s="258" t="s">
        <v>23</v>
      </c>
      <c r="AA19" s="8" t="s">
        <v>41</v>
      </c>
      <c r="AB19" s="8" t="s">
        <v>41</v>
      </c>
      <c r="AC19" s="8" t="s">
        <v>18</v>
      </c>
      <c r="AD19" s="255" t="s">
        <v>29</v>
      </c>
      <c r="AE19" s="9">
        <f t="shared" si="3"/>
        <v>32</v>
      </c>
      <c r="AF19" s="254" t="s">
        <v>23</v>
      </c>
      <c r="AG19" s="254" t="s">
        <v>26</v>
      </c>
      <c r="AH19" s="8" t="s">
        <v>18</v>
      </c>
      <c r="AI19" s="255" t="s">
        <v>27</v>
      </c>
      <c r="AJ19" s="257" t="s">
        <v>26</v>
      </c>
      <c r="AK19" s="8" t="s">
        <v>18</v>
      </c>
      <c r="AL19" s="268" t="s">
        <v>36</v>
      </c>
      <c r="AM19" s="9">
        <f t="shared" si="4"/>
        <v>44</v>
      </c>
      <c r="AN19" s="11"/>
      <c r="AO19" s="11"/>
      <c r="AP19" s="11"/>
      <c r="AQ19" s="11"/>
      <c r="AR19" s="11"/>
      <c r="AS19" s="11"/>
      <c r="AT19" s="11"/>
      <c r="AU19" s="9"/>
      <c r="AV19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19,"D")+COUNTIF(I19,"D1")+COUNTIF(I19,"N")+COUNTIF(I19,"N1")+COUNTIF(I19,"Din")+COUNTIF(I19,"D1in")+COUNTIF(I19,"Nin")+COUNTIF(I19,"N1in")+COUNTIF(I19,"DN")+COUNTIF(I19,"TN")+COUNTIF(I19,"NM")+COUNTIF(I19,"DA")+COUNTIF(I19,"DA")+COUNTIF(M19,"D")+COUNTIF(M19,"D1")+COUNTIF(M19,"N")+COUNTIF(M19,"N1")+COUNTIF(M19,"Din")+COUNTIF(M19,"D1in")+COUNTIF(M19,"Nin")+COUNTIF(M19,"N1in")+COUNTIF(M19,"DN")+COUNTIF(M19,"TN")+COUNTIF(M19,"NM")+COUNTIF(M19,"DA")+COUNTIF(M19,"DA")+COUNTIF(U19,"D")+COUNTIF(U19,"D1")+COUNTIF(U19,"N")+COUNTIF(U19,"N1")+COUNTIF(U19,"Din")+COUNTIF(U19,"D1in")+COUNTIF(U19,"Nin")+COUNTIF(U19,"N1in")+COUNTIF(U19,"DN")+COUNTIF(U19,"TN")+COUNTIF(U19,"NM")+COUNTIF(U19,"DA")+COUNTIF(U19,"DA")+COUNTIF(AS19,"D")+COUNTIF(AS19,"D1")+COUNTIF(AS19,"N")+COUNTIF(AS19,"N1")+COUNTIF(AS19,"Din")+COUNTIF(AS19,"D1in")+COUNTIF(AS19,"Nin")+COUNTIF(AS19,"N1in")+COUNTIF(AS19,"DN")+COUNTIF(AS19,"TN")+COUNTIF(AS19,"NM")+COUNTIF(AS19,"DA")+COUNTIF(AS19,"DA")</f>
        <v>#REF!</v>
      </c>
      <c r="AW19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19,"D")+COUNTIF(J19,"D1")+COUNTIF(J19,"N")+COUNTIF(J19,"N1")+COUNTIF(J19,"Din")+COUNTIF(J19,"D1in")+COUNTIF(J19,"Nin")+COUNTIF(J19,"N1in")+COUNTIF(J19,"DN")+COUNTIF(J19,"TN")+COUNTIF(J19,"NM")+COUNTIF(J19,"DA")+COUNTIF(J19,"DA")+COUNTIF(N19,"D")+COUNTIF(N19,"D1")+COUNTIF(N19,"N")+COUNTIF(N19,"N1")+COUNTIF(N19,"Din")+COUNTIF(N19,"D1in")+COUNTIF(N19,"Nin")+COUNTIF(N19,"N1in")+COUNTIF(N19,"DN")+COUNTIF(N19,"TN")+COUNTIF(N19,"NM")+COUNTIF(N19,"DA")+COUNTIF(N19,"DA")+COUNTIF(V19,"D")+COUNTIF(V19,"D1")+COUNTIF(V19,"N")+COUNTIF(V19,"N1")+COUNTIF(V19,"Din")+COUNTIF(V19,"D1in")+COUNTIF(V19,"Nin")+COUNTIF(V19,"N1in")+COUNTIF(V19,"DN")+COUNTIF(V19,"TN")+COUNTIF(V19,"NM")+COUNTIF(V19,"DA")+COUNTIF(V19,"DA")+COUNTIF(AT19,"D")+COUNTIF(AT19,"D1")+COUNTIF(AT19,"N")+COUNTIF(AT19,"N1")+COUNTIF(AT19,"Din")+COUNTIF(AT19,"D1in")+COUNTIF(AT19,"Nin")+COUNTIF(AT19,"N1in")+COUNTIF(AT19,"DN")+COUNTIF(AT19,"TN")+COUNTIF(AT19,"NM")+COUNTIF(AT19,"DA")+COUNTIF(AT19,"DA")</f>
        <v>#REF!</v>
      </c>
      <c r="AX19" s="255" t="s">
        <v>27</v>
      </c>
      <c r="AY19" s="258" t="s">
        <v>26</v>
      </c>
      <c r="AZ19" s="8" t="s">
        <v>18</v>
      </c>
      <c r="BA19" s="8" t="s">
        <v>18</v>
      </c>
      <c r="BB19" s="258" t="s">
        <v>23</v>
      </c>
      <c r="BC19" s="8" t="s">
        <v>18</v>
      </c>
      <c r="BD19" s="256" t="s">
        <v>23</v>
      </c>
      <c r="BE19" s="9">
        <f t="shared" si="6"/>
        <v>44</v>
      </c>
    </row>
    <row r="20" spans="1:57" ht="22.5" customHeight="1" x14ac:dyDescent="0.25">
      <c r="A20" s="4">
        <v>11</v>
      </c>
      <c r="B20" s="5" t="s">
        <v>39</v>
      </c>
      <c r="C20" s="6">
        <v>1113528808</v>
      </c>
      <c r="D20" s="233" t="s">
        <v>26</v>
      </c>
      <c r="E20" s="233" t="s">
        <v>18</v>
      </c>
      <c r="F20" s="233" t="s">
        <v>27</v>
      </c>
      <c r="G20" s="233" t="s">
        <v>26</v>
      </c>
      <c r="H20" s="233" t="s">
        <v>18</v>
      </c>
      <c r="I20" s="233" t="s">
        <v>23</v>
      </c>
      <c r="J20" s="233" t="s">
        <v>18</v>
      </c>
      <c r="K20" s="234">
        <f t="shared" si="0"/>
        <v>44</v>
      </c>
      <c r="L20" s="235" t="s">
        <v>26</v>
      </c>
      <c r="M20" s="235" t="s">
        <v>18</v>
      </c>
      <c r="N20" s="235" t="s">
        <v>26</v>
      </c>
      <c r="O20" s="192">
        <f t="shared" si="1"/>
        <v>24</v>
      </c>
      <c r="P20" s="253" t="s">
        <v>18</v>
      </c>
      <c r="Q20" s="8" t="s">
        <v>18</v>
      </c>
      <c r="R20" s="256" t="s">
        <v>23</v>
      </c>
      <c r="S20" s="233" t="s">
        <v>18</v>
      </c>
      <c r="T20" s="256" t="s">
        <v>23</v>
      </c>
      <c r="U20" s="256" t="s">
        <v>23</v>
      </c>
      <c r="V20" s="255" t="s">
        <v>27</v>
      </c>
      <c r="W20" s="9">
        <f t="shared" si="2"/>
        <v>44</v>
      </c>
      <c r="X20" s="258" t="s">
        <v>26</v>
      </c>
      <c r="Y20" s="8" t="s">
        <v>18</v>
      </c>
      <c r="Z20" s="255" t="s">
        <v>27</v>
      </c>
      <c r="AA20" s="8" t="s">
        <v>18</v>
      </c>
      <c r="AB20" s="8" t="s">
        <v>18</v>
      </c>
      <c r="AC20" s="254" t="s">
        <v>23</v>
      </c>
      <c r="AD20" s="254" t="s">
        <v>26</v>
      </c>
      <c r="AE20" s="9">
        <f t="shared" si="3"/>
        <v>44</v>
      </c>
      <c r="AF20" s="8" t="s">
        <v>18</v>
      </c>
      <c r="AG20" s="256" t="s">
        <v>26</v>
      </c>
      <c r="AH20" s="8" t="s">
        <v>18</v>
      </c>
      <c r="AI20" s="256" t="s">
        <v>23</v>
      </c>
      <c r="AJ20" s="256" t="s">
        <v>23</v>
      </c>
      <c r="AK20" s="255" t="s">
        <v>25</v>
      </c>
      <c r="AL20" s="8" t="s">
        <v>18</v>
      </c>
      <c r="AM20" s="9">
        <f t="shared" si="4"/>
        <v>44</v>
      </c>
      <c r="AN20" s="11"/>
      <c r="AO20" s="11"/>
      <c r="AP20" s="11"/>
      <c r="AQ20" s="11"/>
      <c r="AR20" s="11"/>
      <c r="AS20" s="11"/>
      <c r="AT20" s="11"/>
      <c r="AU20" s="9"/>
      <c r="AV20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20,"D")+COUNTIF(I20,"D1")+COUNTIF(I20,"N")+COUNTIF(I20,"N1")+COUNTIF(I20,"Din")+COUNTIF(I20,"D1in")+COUNTIF(I20,"Nin")+COUNTIF(I20,"N1in")+COUNTIF(I20,"DN")+COUNTIF(I20,"TN")+COUNTIF(I20,"NM")+COUNTIF(I20,"DA")+COUNTIF(I20,"DA")+COUNTIF(M20,"D")+COUNTIF(M20,"D1")+COUNTIF(M20,"N")+COUNTIF(M20,"N1")+COUNTIF(M20,"Din")+COUNTIF(M20,"D1in")+COUNTIF(M20,"Nin")+COUNTIF(M20,"N1in")+COUNTIF(M20,"DN")+COUNTIF(M20,"TN")+COUNTIF(M20,"NM")+COUNTIF(M20,"DA")+COUNTIF(M20,"DA")+COUNTIF(U20,"D")+COUNTIF(U20,"D1")+COUNTIF(U20,"N")+COUNTIF(U20,"N1")+COUNTIF(U20,"Din")+COUNTIF(U20,"D1in")+COUNTIF(U20,"Nin")+COUNTIF(U20,"N1in")+COUNTIF(U20,"DN")+COUNTIF(U20,"TN")+COUNTIF(U20,"NM")+COUNTIF(U20,"DA")+COUNTIF(U20,"DA")+COUNTIF(AS20,"D")+COUNTIF(AS20,"D1")+COUNTIF(AS20,"N")+COUNTIF(AS20,"N1")+COUNTIF(AS20,"Din")+COUNTIF(AS20,"D1in")+COUNTIF(AS20,"Nin")+COUNTIF(AS20,"N1in")+COUNTIF(AS20,"DN")+COUNTIF(AS20,"TN")+COUNTIF(AS20,"NM")+COUNTIF(AS20,"DA")+COUNTIF(AS20,"DA")</f>
        <v>#REF!</v>
      </c>
      <c r="AW20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20,"D")+COUNTIF(J20,"D1")+COUNTIF(J20,"N")+COUNTIF(J20,"N1")+COUNTIF(J20,"Din")+COUNTIF(J20,"D1in")+COUNTIF(J20,"Nin")+COUNTIF(J20,"N1in")+COUNTIF(J20,"DN")+COUNTIF(J20,"TN")+COUNTIF(J20,"NM")+COUNTIF(J20,"DA")+COUNTIF(J20,"DA")+COUNTIF(N20,"D")+COUNTIF(N20,"D1")+COUNTIF(N20,"N")+COUNTIF(N20,"N1")+COUNTIF(N20,"Din")+COUNTIF(N20,"D1in")+COUNTIF(N20,"Nin")+COUNTIF(N20,"N1in")+COUNTIF(N20,"DN")+COUNTIF(N20,"TN")+COUNTIF(N20,"NM")+COUNTIF(N20,"DA")+COUNTIF(N20,"DA")+COUNTIF(V20,"D")+COUNTIF(V20,"D1")+COUNTIF(V20,"N")+COUNTIF(V20,"N1")+COUNTIF(V20,"Din")+COUNTIF(V20,"D1in")+COUNTIF(V20,"Nin")+COUNTIF(V20,"N1in")+COUNTIF(V20,"DN")+COUNTIF(V20,"TN")+COUNTIF(V20,"NM")+COUNTIF(V20,"DA")+COUNTIF(V20,"DA")+COUNTIF(AT20,"D")+COUNTIF(AT20,"D1")+COUNTIF(AT20,"N")+COUNTIF(AT20,"N1")+COUNTIF(AT20,"Din")+COUNTIF(AT20,"D1in")+COUNTIF(AT20,"Nin")+COUNTIF(AT20,"N1in")+COUNTIF(AT20,"DN")+COUNTIF(AT20,"TN")+COUNTIF(AT20,"NM")+COUNTIF(AT20,"DA")+COUNTIF(AT20,"DA")</f>
        <v>#REF!</v>
      </c>
      <c r="AX20" s="8" t="s">
        <v>18</v>
      </c>
      <c r="AY20" s="255" t="s">
        <v>27</v>
      </c>
      <c r="AZ20" s="254" t="s">
        <v>26</v>
      </c>
      <c r="BA20" s="8" t="s">
        <v>18</v>
      </c>
      <c r="BB20" s="258" t="s">
        <v>26</v>
      </c>
      <c r="BC20" s="8" t="s">
        <v>18</v>
      </c>
      <c r="BD20" s="258" t="s">
        <v>23</v>
      </c>
      <c r="BE20" s="9">
        <f t="shared" si="6"/>
        <v>44</v>
      </c>
    </row>
    <row r="21" spans="1:57" ht="19.5" customHeight="1" x14ac:dyDescent="0.25">
      <c r="A21" s="4">
        <v>12</v>
      </c>
      <c r="B21" s="5" t="s">
        <v>158</v>
      </c>
      <c r="C21" s="6">
        <v>1113677955</v>
      </c>
      <c r="D21" s="233"/>
      <c r="E21" s="233"/>
      <c r="F21" s="233"/>
      <c r="G21" s="233"/>
      <c r="H21" s="233"/>
      <c r="I21" s="233"/>
      <c r="J21" s="233"/>
      <c r="K21" s="234"/>
      <c r="L21" s="239"/>
      <c r="M21" s="239"/>
      <c r="N21" s="239"/>
      <c r="O21" s="192">
        <f t="shared" si="1"/>
        <v>0</v>
      </c>
      <c r="P21" s="8" t="s">
        <v>54</v>
      </c>
      <c r="Q21" s="8" t="s">
        <v>54</v>
      </c>
      <c r="R21" s="8" t="s">
        <v>18</v>
      </c>
      <c r="S21" s="8" t="s">
        <v>54</v>
      </c>
      <c r="T21" s="8" t="s">
        <v>18</v>
      </c>
      <c r="U21" s="8" t="s">
        <v>18</v>
      </c>
      <c r="V21" s="8" t="s">
        <v>55</v>
      </c>
      <c r="W21" s="9">
        <v>44</v>
      </c>
      <c r="X21" s="8" t="s">
        <v>53</v>
      </c>
      <c r="Y21" s="8" t="s">
        <v>18</v>
      </c>
      <c r="Z21" s="8" t="s">
        <v>18</v>
      </c>
      <c r="AA21" s="8" t="s">
        <v>54</v>
      </c>
      <c r="AB21" s="8" t="s">
        <v>53</v>
      </c>
      <c r="AC21" s="8" t="s">
        <v>18</v>
      </c>
      <c r="AD21" s="8" t="s">
        <v>159</v>
      </c>
      <c r="AE21" s="9">
        <v>44</v>
      </c>
      <c r="AF21" s="8" t="s">
        <v>18</v>
      </c>
      <c r="AG21" s="233" t="s">
        <v>54</v>
      </c>
      <c r="AH21" s="233" t="s">
        <v>18</v>
      </c>
      <c r="AI21" s="8" t="s">
        <v>159</v>
      </c>
      <c r="AJ21" s="8" t="s">
        <v>18</v>
      </c>
      <c r="AK21" s="258" t="s">
        <v>23</v>
      </c>
      <c r="AL21" s="258" t="s">
        <v>26</v>
      </c>
      <c r="AM21" s="9">
        <v>44</v>
      </c>
      <c r="AN21" s="8"/>
      <c r="AO21" s="8"/>
      <c r="AP21" s="8"/>
      <c r="AQ21" s="8"/>
      <c r="AR21" s="8"/>
      <c r="AS21" s="8"/>
      <c r="AT21" s="11"/>
      <c r="AU21" s="9">
        <f>COUNTIF(AN21:AT21,"D")*12+COUNTIF(AN21:AT21,"D1")*11+COUNTIF(AN21:AT21,"N")*12+COUNTIF(AN21:AT21,"N1")*11+COUNTIF(AN21:AT21,"Din")*12+COUNTIF(AN21:AT21,"D1in")*11+COUNTIF(AN21:AT21,"Nin")*12+COUNTIF(AN21:AT21,"N1in")*11+COUNTIF(AN21:AT21,"DN")*24+COUNTIF(AN21:AT21,"TN")*18+COUNTIF(AN21:AT21,"NM")*18+COUNTIF(AN21:AT21,"DA")*9.5+COUNTIF(AN21:AT21,"DA")*9+COUNTIF(AN21:AT21,"DE")*12+COUNTIF(AN21:AT21,"D2")*11</f>
        <v>0</v>
      </c>
      <c r="AV21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21,"D")+COUNTIF(I21,"D1")+COUNTIF(I21,"N")+COUNTIF(I21,"N1")+COUNTIF(I21,"Din")+COUNTIF(I21,"D1in")+COUNTIF(I21,"Nin")+COUNTIF(I21,"N1in")+COUNTIF(I21,"DN")+COUNTIF(I21,"TN")+COUNTIF(I21,"NM")+COUNTIF(I21,"DA")+COUNTIF(I21,"DA")+COUNTIF(M21,"D")+COUNTIF(M21,"D1")+COUNTIF(M21,"N")+COUNTIF(M21,"N1")+COUNTIF(M21,"Din")+COUNTIF(M21,"D1in")+COUNTIF(M21,"Nin")+COUNTIF(M21,"N1in")+COUNTIF(M21,"DN")+COUNTIF(M21,"TN")+COUNTIF(M21,"NM")+COUNTIF(M21,"DA")+COUNTIF(M21,"DA")+COUNTIF(U21,"D")+COUNTIF(U21,"D1")+COUNTIF(U21,"N")+COUNTIF(U21,"N1")+COUNTIF(U21,"Din")+COUNTIF(U21,"D1in")+COUNTIF(U21,"Nin")+COUNTIF(U21,"N1in")+COUNTIF(U21,"DN")+COUNTIF(U21,"TN")+COUNTIF(U21,"NM")+COUNTIF(U21,"DA")+COUNTIF(U21,"DA")+COUNTIF(AS21,"D")+COUNTIF(AS21,"D1")+COUNTIF(AS21,"N")+COUNTIF(AS21,"N1")+COUNTIF(AS21,"Din")+COUNTIF(AS21,"D1in")+COUNTIF(AS21,"Nin")+COUNTIF(AS21,"N1in")+COUNTIF(AS21,"DN")+COUNTIF(AS21,"TN")+COUNTIF(AS21,"NM")+COUNTIF(AS21,"DA")+COUNTIF(AS21,"DA")</f>
        <v>#REF!</v>
      </c>
      <c r="AW21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21,"D")+COUNTIF(J21,"D1")+COUNTIF(J21,"N")+COUNTIF(J21,"N1")+COUNTIF(J21,"Din")+COUNTIF(J21,"D1in")+COUNTIF(J21,"Nin")+COUNTIF(J21,"N1in")+COUNTIF(J21,"DN")+COUNTIF(J21,"TN")+COUNTIF(J21,"NM")+COUNTIF(J21,"DA")+COUNTIF(J21,"DA")+COUNTIF(N21,"D")+COUNTIF(N21,"D1")+COUNTIF(N21,"N")+COUNTIF(N21,"N1")+COUNTIF(N21,"Din")+COUNTIF(N21,"D1in")+COUNTIF(N21,"Nin")+COUNTIF(N21,"N1in")+COUNTIF(N21,"DN")+COUNTIF(N21,"TN")+COUNTIF(N21,"NM")+COUNTIF(N21,"DA")+COUNTIF(N21,"DA")+COUNTIF(V21,"D")+COUNTIF(V21,"D1")+COUNTIF(V21,"N")+COUNTIF(V21,"N1")+COUNTIF(V21,"Din")+COUNTIF(V21,"D1in")+COUNTIF(V21,"Nin")+COUNTIF(V21,"N1in")+COUNTIF(V21,"DN")+COUNTIF(V21,"TN")+COUNTIF(V21,"NM")+COUNTIF(V21,"DA")+COUNTIF(V21,"DA")+COUNTIF(AT21,"D")+COUNTIF(AT21,"D1")+COUNTIF(AT21,"N")+COUNTIF(AT21,"N1")+COUNTIF(AT21,"Din")+COUNTIF(AT21,"D1in")+COUNTIF(AT21,"Nin")+COUNTIF(AT21,"N1in")+COUNTIF(AT21,"DN")+COUNTIF(AT21,"TN")+COUNTIF(AT21,"NM")+COUNTIF(AT21,"DA")+COUNTIF(AT21,"DA")</f>
        <v>#REF!</v>
      </c>
      <c r="AX21" s="8" t="s">
        <v>18</v>
      </c>
      <c r="AY21" s="254" t="s">
        <v>23</v>
      </c>
      <c r="AZ21" s="254" t="s">
        <v>23</v>
      </c>
      <c r="BA21" s="8" t="s">
        <v>18</v>
      </c>
      <c r="BB21" s="254" t="s">
        <v>23</v>
      </c>
      <c r="BC21" s="8" t="s">
        <v>18</v>
      </c>
      <c r="BD21" s="259" t="s">
        <v>29</v>
      </c>
      <c r="BE21" s="9">
        <f t="shared" si="6"/>
        <v>44</v>
      </c>
    </row>
    <row r="22" spans="1:57" ht="21" customHeight="1" x14ac:dyDescent="0.25">
      <c r="A22" s="4">
        <v>13</v>
      </c>
      <c r="B22" s="5" t="s">
        <v>40</v>
      </c>
      <c r="C22" s="6">
        <v>1113648320</v>
      </c>
      <c r="D22" s="233" t="s">
        <v>25</v>
      </c>
      <c r="E22" s="233" t="s">
        <v>18</v>
      </c>
      <c r="F22" s="233" t="s">
        <v>26</v>
      </c>
      <c r="G22" s="233" t="s">
        <v>18</v>
      </c>
      <c r="H22" s="233" t="s">
        <v>18</v>
      </c>
      <c r="I22" s="233" t="s">
        <v>23</v>
      </c>
      <c r="J22" s="233" t="s">
        <v>23</v>
      </c>
      <c r="K22" s="234">
        <f t="shared" ref="K22:K31" si="8">COUNTIF(D22:J22,"D")*12+COUNTIF(D22:J22,"D1")*11+COUNTIF(D22:J22,"N")*12+COUNTIF(D22:J22,"N1")*11+COUNTIF(D22:J22,"Din")*12+COUNTIF(D22:J22,"D1in")*11+COUNTIF(D22:J22,"Nin")*12+COUNTIF(D22:J22,"N1in")*11+COUNTIF(D22:J22,"M8")*8+COUNTIF(D22:J22,"T8")*8+COUNTIF(D22:J22,"N8")*8</f>
        <v>44</v>
      </c>
      <c r="L22" s="235" t="s">
        <v>41</v>
      </c>
      <c r="M22" s="235" t="s">
        <v>41</v>
      </c>
      <c r="N22" s="235" t="s">
        <v>41</v>
      </c>
      <c r="O22" s="192">
        <f t="shared" si="1"/>
        <v>0</v>
      </c>
      <c r="P22" s="8" t="s">
        <v>41</v>
      </c>
      <c r="Q22" s="8" t="s">
        <v>41</v>
      </c>
      <c r="R22" s="8" t="s">
        <v>41</v>
      </c>
      <c r="S22" s="8" t="s">
        <v>41</v>
      </c>
      <c r="T22" s="8" t="s">
        <v>41</v>
      </c>
      <c r="U22" s="8" t="s">
        <v>41</v>
      </c>
      <c r="V22" s="8" t="s">
        <v>41</v>
      </c>
      <c r="W22" s="9">
        <f t="shared" si="2"/>
        <v>0</v>
      </c>
      <c r="X22" s="8" t="s">
        <v>41</v>
      </c>
      <c r="Y22" s="8" t="s">
        <v>41</v>
      </c>
      <c r="Z22" s="8" t="s">
        <v>41</v>
      </c>
      <c r="AA22" s="8" t="s">
        <v>41</v>
      </c>
      <c r="AB22" s="8" t="s">
        <v>41</v>
      </c>
      <c r="AC22" s="8" t="s">
        <v>41</v>
      </c>
      <c r="AD22" s="8" t="s">
        <v>41</v>
      </c>
      <c r="AE22" s="9">
        <f t="shared" si="3"/>
        <v>0</v>
      </c>
      <c r="AF22" s="8" t="s">
        <v>41</v>
      </c>
      <c r="AG22" s="8" t="s">
        <v>41</v>
      </c>
      <c r="AH22" s="8" t="s">
        <v>41</v>
      </c>
      <c r="AI22" s="8" t="s">
        <v>41</v>
      </c>
      <c r="AJ22" s="8" t="s">
        <v>41</v>
      </c>
      <c r="AK22" s="8" t="s">
        <v>41</v>
      </c>
      <c r="AL22" s="8" t="s">
        <v>41</v>
      </c>
      <c r="AM22" s="9">
        <f t="shared" si="4"/>
        <v>0</v>
      </c>
      <c r="AN22" s="11"/>
      <c r="AO22" s="11"/>
      <c r="AP22" s="11"/>
      <c r="AQ22" s="11"/>
      <c r="AR22" s="11"/>
      <c r="AS22" s="11"/>
      <c r="AT22" s="11"/>
      <c r="AU22" s="9"/>
      <c r="AV2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22,"D")+COUNTIF(I22,"D1")+COUNTIF(I22,"N")+COUNTIF(I22,"N1")+COUNTIF(I22,"Din")+COUNTIF(I22,"D1in")+COUNTIF(I22,"Nin")+COUNTIF(I22,"N1in")+COUNTIF(I22,"DN")+COUNTIF(I22,"TN")+COUNTIF(I22,"NM")+COUNTIF(I22,"DA")+COUNTIF(I22,"DA")+COUNTIF(M22,"D")+COUNTIF(M22,"D1")+COUNTIF(M22,"N")+COUNTIF(M22,"N1")+COUNTIF(M22,"Din")+COUNTIF(M22,"D1in")+COUNTIF(M22,"Nin")+COUNTIF(M22,"N1in")+COUNTIF(M22,"DN")+COUNTIF(M22,"TN")+COUNTIF(M22,"NM")+COUNTIF(M22,"DA")+COUNTIF(M22,"DA")+COUNTIF(U22,"D")+COUNTIF(U22,"D1")+COUNTIF(U22,"N")+COUNTIF(U22,"N1")+COUNTIF(U22,"Din")+COUNTIF(U22,"D1in")+COUNTIF(U22,"Nin")+COUNTIF(U22,"N1in")+COUNTIF(U22,"DN")+COUNTIF(U22,"TN")+COUNTIF(U22,"NM")+COUNTIF(U22,"DA")+COUNTIF(U22,"DA")+COUNTIF(AS22,"D")+COUNTIF(AS22,"D1")+COUNTIF(AS22,"N")+COUNTIF(AS22,"N1")+COUNTIF(AS22,"Din")+COUNTIF(AS22,"D1in")+COUNTIF(AS22,"Nin")+COUNTIF(AS22,"N1in")+COUNTIF(AS22,"DN")+COUNTIF(AS22,"TN")+COUNTIF(AS22,"NM")+COUNTIF(AS22,"DA")+COUNTIF(AS22,"DA")</f>
        <v>#REF!</v>
      </c>
      <c r="AW2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22,"D")+COUNTIF(J22,"D1")+COUNTIF(J22,"N")+COUNTIF(J22,"N1")+COUNTIF(J22,"Din")+COUNTIF(J22,"D1in")+COUNTIF(J22,"Nin")+COUNTIF(J22,"N1in")+COUNTIF(J22,"DN")+COUNTIF(J22,"TN")+COUNTIF(J22,"NM")+COUNTIF(J22,"DA")+COUNTIF(J22,"DA")+COUNTIF(N22,"D")+COUNTIF(N22,"D1")+COUNTIF(N22,"N")+COUNTIF(N22,"N1")+COUNTIF(N22,"Din")+COUNTIF(N22,"D1in")+COUNTIF(N22,"Nin")+COUNTIF(N22,"N1in")+COUNTIF(N22,"DN")+COUNTIF(N22,"TN")+COUNTIF(N22,"NM")+COUNTIF(N22,"DA")+COUNTIF(N22,"DA")+COUNTIF(V22,"D")+COUNTIF(V22,"D1")+COUNTIF(V22,"N")+COUNTIF(V22,"N1")+COUNTIF(V22,"Din")+COUNTIF(V22,"D1in")+COUNTIF(V22,"Nin")+COUNTIF(V22,"N1in")+COUNTIF(V22,"DN")+COUNTIF(V22,"TN")+COUNTIF(V22,"NM")+COUNTIF(V22,"DA")+COUNTIF(V22,"DA")+COUNTIF(AT22,"D")+COUNTIF(AT22,"D1")+COUNTIF(AT22,"N")+COUNTIF(AT22,"N1")+COUNTIF(AT22,"Din")+COUNTIF(AT22,"D1in")+COUNTIF(AT22,"Nin")+COUNTIF(AT22,"N1in")+COUNTIF(AT22,"DN")+COUNTIF(AT22,"TN")+COUNTIF(AT22,"NM")+COUNTIF(AT22,"DA")+COUNTIF(AT22,"DA")</f>
        <v>#REF!</v>
      </c>
      <c r="AX22" s="8" t="s">
        <v>41</v>
      </c>
      <c r="AY22" s="8" t="s">
        <v>41</v>
      </c>
      <c r="AZ22" s="8" t="s">
        <v>41</v>
      </c>
      <c r="BA22" s="8" t="s">
        <v>41</v>
      </c>
      <c r="BB22" s="8" t="s">
        <v>41</v>
      </c>
      <c r="BC22" s="8" t="s">
        <v>41</v>
      </c>
      <c r="BD22" s="8" t="s">
        <v>41</v>
      </c>
      <c r="BE22" s="9">
        <f t="shared" si="6"/>
        <v>0</v>
      </c>
    </row>
    <row r="23" spans="1:57" ht="19.5" customHeight="1" x14ac:dyDescent="0.25">
      <c r="A23" s="4">
        <v>14</v>
      </c>
      <c r="B23" s="5" t="s">
        <v>42</v>
      </c>
      <c r="C23" s="6">
        <v>1151937990</v>
      </c>
      <c r="D23" s="238" t="s">
        <v>21</v>
      </c>
      <c r="E23" s="238" t="s">
        <v>21</v>
      </c>
      <c r="F23" s="238" t="s">
        <v>21</v>
      </c>
      <c r="G23" s="238" t="s">
        <v>21</v>
      </c>
      <c r="H23" s="238" t="s">
        <v>21</v>
      </c>
      <c r="I23" s="238" t="s">
        <v>21</v>
      </c>
      <c r="J23" s="238" t="s">
        <v>21</v>
      </c>
      <c r="K23" s="234">
        <f t="shared" si="8"/>
        <v>0</v>
      </c>
      <c r="L23" s="235" t="s">
        <v>26</v>
      </c>
      <c r="M23" s="235" t="s">
        <v>18</v>
      </c>
      <c r="N23" s="235" t="s">
        <v>26</v>
      </c>
      <c r="O23" s="192">
        <f t="shared" si="1"/>
        <v>24</v>
      </c>
      <c r="P23" s="253" t="s">
        <v>18</v>
      </c>
      <c r="Q23" s="256" t="s">
        <v>23</v>
      </c>
      <c r="R23" s="255" t="s">
        <v>25</v>
      </c>
      <c r="S23" s="8" t="s">
        <v>18</v>
      </c>
      <c r="T23" s="8" t="s">
        <v>18</v>
      </c>
      <c r="U23" s="258" t="s">
        <v>23</v>
      </c>
      <c r="V23" s="258" t="s">
        <v>23</v>
      </c>
      <c r="W23" s="9">
        <f t="shared" si="2"/>
        <v>44</v>
      </c>
      <c r="X23" s="8" t="s">
        <v>18</v>
      </c>
      <c r="Y23" s="257" t="s">
        <v>26</v>
      </c>
      <c r="Z23" s="257" t="s">
        <v>26</v>
      </c>
      <c r="AA23" s="8" t="s">
        <v>18</v>
      </c>
      <c r="AB23" s="257" t="s">
        <v>26</v>
      </c>
      <c r="AC23" s="8" t="s">
        <v>18</v>
      </c>
      <c r="AD23" s="255" t="s">
        <v>27</v>
      </c>
      <c r="AE23" s="9">
        <f t="shared" si="3"/>
        <v>44</v>
      </c>
      <c r="AF23" s="254" t="s">
        <v>26</v>
      </c>
      <c r="AG23" s="255" t="s">
        <v>25</v>
      </c>
      <c r="AH23" s="8" t="s">
        <v>18</v>
      </c>
      <c r="AI23" s="256" t="s">
        <v>26</v>
      </c>
      <c r="AJ23" s="8" t="s">
        <v>18</v>
      </c>
      <c r="AK23" s="256" t="s">
        <v>26</v>
      </c>
      <c r="AL23" s="8" t="s">
        <v>18</v>
      </c>
      <c r="AM23" s="9">
        <f t="shared" si="4"/>
        <v>44</v>
      </c>
      <c r="AN23" s="8"/>
      <c r="AO23" s="8"/>
      <c r="AP23" s="8"/>
      <c r="AQ23" s="8"/>
      <c r="AR23" s="8"/>
      <c r="AS23" s="8"/>
      <c r="AT23" s="11"/>
      <c r="AU23" s="9">
        <f t="shared" ref="AU23:AU24" si="9">COUNTIF(AN23:AT23,"D")*12+COUNTIF(AN23:AT23,"D1")*11+COUNTIF(AN23:AT23,"N")*12+COUNTIF(AN23:AT23,"N1")*11+COUNTIF(AN23:AT23,"Din")*12+COUNTIF(AN23:AT23,"D1in")*11+COUNTIF(AN23:AT23,"Nin")*12+COUNTIF(AN23:AT23,"N1in")*11+COUNTIF(AN23:AT23,"DN")*24+COUNTIF(AN23:AT23,"TN")*18+COUNTIF(AN23:AT23,"NM")*18+COUNTIF(AN23:AT23,"DA")*9.5+COUNTIF(AN23:AT23,"DA")*9+COUNTIF(AN23:AT23,"DE")*12+COUNTIF(AN23:AT23,"D2")*11</f>
        <v>0</v>
      </c>
      <c r="AV23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23,"D")+COUNTIF(I23,"D1")+COUNTIF(I23,"N")+COUNTIF(I23,"N1")+COUNTIF(I23,"Din")+COUNTIF(I23,"D1in")+COUNTIF(I23,"Nin")+COUNTIF(I23,"N1in")+COUNTIF(I23,"DN")+COUNTIF(I23,"TN")+COUNTIF(I23,"NM")+COUNTIF(I23,"DA")+COUNTIF(I23,"DA")+COUNTIF(M23,"D")+COUNTIF(M23,"D1")+COUNTIF(M23,"N")+COUNTIF(M23,"N1")+COUNTIF(M23,"Din")+COUNTIF(M23,"D1in")+COUNTIF(M23,"Nin")+COUNTIF(M23,"N1in")+COUNTIF(M23,"DN")+COUNTIF(M23,"TN")+COUNTIF(M23,"NM")+COUNTIF(M23,"DA")+COUNTIF(M23,"DA")+COUNTIF(U23,"D")+COUNTIF(U23,"D1")+COUNTIF(U23,"N")+COUNTIF(U23,"N1")+COUNTIF(U23,"Din")+COUNTIF(U23,"D1in")+COUNTIF(U23,"Nin")+COUNTIF(U23,"N1in")+COUNTIF(U23,"DN")+COUNTIF(U23,"TN")+COUNTIF(U23,"NM")+COUNTIF(U23,"DA")+COUNTIF(U23,"DA")+COUNTIF(AS23,"D")+COUNTIF(AS23,"D1")+COUNTIF(AS23,"N")+COUNTIF(AS23,"N1")+COUNTIF(AS23,"Din")+COUNTIF(AS23,"D1in")+COUNTIF(AS23,"Nin")+COUNTIF(AS23,"N1in")+COUNTIF(AS23,"DN")+COUNTIF(AS23,"TN")+COUNTIF(AS23,"NM")+COUNTIF(AS23,"DA")+COUNTIF(AS23,"DA")</f>
        <v>#REF!</v>
      </c>
      <c r="AW23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23,"D")+COUNTIF(J23,"D1")+COUNTIF(J23,"N")+COUNTIF(J23,"N1")+COUNTIF(J23,"Din")+COUNTIF(J23,"D1in")+COUNTIF(J23,"Nin")+COUNTIF(J23,"N1in")+COUNTIF(J23,"DN")+COUNTIF(J23,"TN")+COUNTIF(J23,"NM")+COUNTIF(J23,"DA")+COUNTIF(J23,"DA")+COUNTIF(N23,"D")+COUNTIF(N23,"D1")+COUNTIF(N23,"N")+COUNTIF(N23,"N1")+COUNTIF(N23,"Din")+COUNTIF(N23,"D1in")+COUNTIF(N23,"Nin")+COUNTIF(N23,"N1in")+COUNTIF(N23,"DN")+COUNTIF(N23,"TN")+COUNTIF(N23,"NM")+COUNTIF(N23,"DA")+COUNTIF(N23,"DA")+COUNTIF(V23,"D")+COUNTIF(V23,"D1")+COUNTIF(V23,"N")+COUNTIF(V23,"N1")+COUNTIF(V23,"Din")+COUNTIF(V23,"D1in")+COUNTIF(V23,"Nin")+COUNTIF(V23,"N1in")+COUNTIF(V23,"DN")+COUNTIF(V23,"TN")+COUNTIF(V23,"NM")+COUNTIF(V23,"DA")+COUNTIF(V23,"DA")+COUNTIF(AT23,"D")+COUNTIF(AT23,"D1")+COUNTIF(AT23,"N")+COUNTIF(AT23,"N1")+COUNTIF(AT23,"Din")+COUNTIF(AT23,"D1in")+COUNTIF(AT23,"Nin")+COUNTIF(AT23,"N1in")+COUNTIF(AT23,"DN")+COUNTIF(AT23,"TN")+COUNTIF(AT23,"NM")+COUNTIF(AT23,"DA")+COUNTIF(AT23,"DA")</f>
        <v>#REF!</v>
      </c>
      <c r="AX23" s="256" t="s">
        <v>23</v>
      </c>
      <c r="AY23" s="256" t="s">
        <v>26</v>
      </c>
      <c r="AZ23" s="255" t="s">
        <v>25</v>
      </c>
      <c r="BA23" s="8" t="s">
        <v>18</v>
      </c>
      <c r="BB23" s="254" t="s">
        <v>26</v>
      </c>
      <c r="BC23" s="8" t="s">
        <v>18</v>
      </c>
      <c r="BD23" s="8" t="s">
        <v>18</v>
      </c>
      <c r="BE23" s="9">
        <f t="shared" si="6"/>
        <v>44</v>
      </c>
    </row>
    <row r="24" spans="1:57" ht="18" customHeight="1" x14ac:dyDescent="0.25">
      <c r="A24" s="4">
        <v>15</v>
      </c>
      <c r="B24" s="5" t="s">
        <v>43</v>
      </c>
      <c r="C24" s="6">
        <v>1006308062</v>
      </c>
      <c r="D24" s="233" t="s">
        <v>26</v>
      </c>
      <c r="E24" s="233" t="s">
        <v>25</v>
      </c>
      <c r="F24" s="233" t="s">
        <v>18</v>
      </c>
      <c r="G24" s="233" t="s">
        <v>23</v>
      </c>
      <c r="H24" s="233" t="s">
        <v>26</v>
      </c>
      <c r="I24" s="233" t="s">
        <v>18</v>
      </c>
      <c r="J24" s="233" t="s">
        <v>18</v>
      </c>
      <c r="K24" s="234">
        <f t="shared" si="8"/>
        <v>44</v>
      </c>
      <c r="L24" s="235" t="s">
        <v>21</v>
      </c>
      <c r="M24" s="235" t="s">
        <v>21</v>
      </c>
      <c r="N24" s="235" t="s">
        <v>21</v>
      </c>
      <c r="O24" s="192">
        <f t="shared" si="1"/>
        <v>0</v>
      </c>
      <c r="P24" s="238" t="s">
        <v>21</v>
      </c>
      <c r="Q24" s="238" t="s">
        <v>21</v>
      </c>
      <c r="R24" s="238" t="s">
        <v>21</v>
      </c>
      <c r="S24" s="238" t="s">
        <v>21</v>
      </c>
      <c r="T24" s="238" t="s">
        <v>21</v>
      </c>
      <c r="U24" s="238" t="s">
        <v>21</v>
      </c>
      <c r="V24" s="238" t="s">
        <v>21</v>
      </c>
      <c r="W24" s="9">
        <f t="shared" si="2"/>
        <v>0</v>
      </c>
      <c r="X24" s="238" t="s">
        <v>21</v>
      </c>
      <c r="Y24" s="238" t="s">
        <v>21</v>
      </c>
      <c r="Z24" s="238" t="s">
        <v>21</v>
      </c>
      <c r="AA24" s="238" t="s">
        <v>21</v>
      </c>
      <c r="AB24" s="238" t="s">
        <v>21</v>
      </c>
      <c r="AC24" s="257" t="s">
        <v>23</v>
      </c>
      <c r="AD24" s="257" t="s">
        <v>26</v>
      </c>
      <c r="AE24" s="9">
        <f t="shared" si="3"/>
        <v>24</v>
      </c>
      <c r="AF24" s="8" t="s">
        <v>18</v>
      </c>
      <c r="AG24" s="257" t="s">
        <v>26</v>
      </c>
      <c r="AH24" s="8" t="s">
        <v>18</v>
      </c>
      <c r="AI24" s="257" t="s">
        <v>26</v>
      </c>
      <c r="AJ24" s="8" t="s">
        <v>18</v>
      </c>
      <c r="AK24" s="255" t="s">
        <v>29</v>
      </c>
      <c r="AL24" s="255" t="s">
        <v>23</v>
      </c>
      <c r="AM24" s="9">
        <f t="shared" si="4"/>
        <v>44</v>
      </c>
      <c r="AN24" s="8"/>
      <c r="AO24" s="8"/>
      <c r="AP24" s="13"/>
      <c r="AQ24" s="8"/>
      <c r="AR24" s="8"/>
      <c r="AS24" s="8"/>
      <c r="AT24" s="11"/>
      <c r="AU24" s="9">
        <f t="shared" si="9"/>
        <v>0</v>
      </c>
      <c r="AV24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24,"D")+COUNTIF(I24,"D1")+COUNTIF(I24,"N")+COUNTIF(I24,"N1")+COUNTIF(I24,"Din")+COUNTIF(I24,"D1in")+COUNTIF(I24,"Nin")+COUNTIF(I24,"N1in")+COUNTIF(I24,"DN")+COUNTIF(I24,"TN")+COUNTIF(I24,"NM")+COUNTIF(I24,"DA")+COUNTIF(I24,"DA")+COUNTIF(M24,"D")+COUNTIF(M24,"D1")+COUNTIF(M24,"N")+COUNTIF(M24,"N1")+COUNTIF(M24,"Din")+COUNTIF(M24,"D1in")+COUNTIF(M24,"Nin")+COUNTIF(M24,"N1in")+COUNTIF(M24,"DN")+COUNTIF(M24,"TN")+COUNTIF(M24,"NM")+COUNTIF(M24,"DA")+COUNTIF(M24,"DA")+COUNTIF(U24,"D")+COUNTIF(U24,"D1")+COUNTIF(U24,"N")+COUNTIF(U24,"N1")+COUNTIF(U24,"Din")+COUNTIF(U24,"D1in")+COUNTIF(U24,"Nin")+COUNTIF(U24,"N1in")+COUNTIF(U24,"DN")+COUNTIF(U24,"TN")+COUNTIF(U24,"NM")+COUNTIF(U24,"DA")+COUNTIF(U24,"DA")+COUNTIF(AS24,"D")+COUNTIF(AS24,"D1")+COUNTIF(AS24,"N")+COUNTIF(AS24,"N1")+COUNTIF(AS24,"Din")+COUNTIF(AS24,"D1in")+COUNTIF(AS24,"Nin")+COUNTIF(AS24,"N1in")+COUNTIF(AS24,"DN")+COUNTIF(AS24,"TN")+COUNTIF(AS24,"NM")+COUNTIF(AS24,"DA")+COUNTIF(AS24,"DA")</f>
        <v>#REF!</v>
      </c>
      <c r="AW24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24,"D")+COUNTIF(J24,"D1")+COUNTIF(J24,"N")+COUNTIF(J24,"N1")+COUNTIF(J24,"Din")+COUNTIF(J24,"D1in")+COUNTIF(J24,"Nin")+COUNTIF(J24,"N1in")+COUNTIF(J24,"DN")+COUNTIF(J24,"TN")+COUNTIF(J24,"NM")+COUNTIF(J24,"DA")+COUNTIF(J24,"DA")+COUNTIF(N24,"D")+COUNTIF(N24,"D1")+COUNTIF(N24,"N")+COUNTIF(N24,"N1")+COUNTIF(N24,"Din")+COUNTIF(N24,"D1in")+COUNTIF(N24,"Nin")+COUNTIF(N24,"N1in")+COUNTIF(N24,"DN")+COUNTIF(N24,"TN")+COUNTIF(N24,"NM")+COUNTIF(N24,"DA")+COUNTIF(N24,"DA")+COUNTIF(V24,"D")+COUNTIF(V24,"D1")+COUNTIF(V24,"N")+COUNTIF(V24,"N1")+COUNTIF(V24,"Din")+COUNTIF(V24,"D1in")+COUNTIF(V24,"Nin")+COUNTIF(V24,"N1in")+COUNTIF(V24,"DN")+COUNTIF(V24,"TN")+COUNTIF(V24,"NM")+COUNTIF(V24,"DA")+COUNTIF(V24,"DA")+COUNTIF(AT24,"D")+COUNTIF(AT24,"D1")+COUNTIF(AT24,"N")+COUNTIF(AT24,"N1")+COUNTIF(AT24,"Din")+COUNTIF(AT24,"D1in")+COUNTIF(AT24,"Nin")+COUNTIF(AT24,"N1in")+COUNTIF(AT24,"DN")+COUNTIF(AT24,"TN")+COUNTIF(AT24,"NM")+COUNTIF(AT24,"DA")+COUNTIF(AT24,"DA")</f>
        <v>#REF!</v>
      </c>
      <c r="AX24" s="256" t="s">
        <v>26</v>
      </c>
      <c r="AY24" s="8" t="s">
        <v>18</v>
      </c>
      <c r="AZ24" s="256" t="s">
        <v>23</v>
      </c>
      <c r="BA24" s="256" t="s">
        <v>26</v>
      </c>
      <c r="BB24" s="8" t="s">
        <v>18</v>
      </c>
      <c r="BC24" s="255" t="s">
        <v>25</v>
      </c>
      <c r="BD24" s="8" t="s">
        <v>18</v>
      </c>
      <c r="BE24" s="9">
        <f t="shared" si="6"/>
        <v>44</v>
      </c>
    </row>
    <row r="25" spans="1:57" ht="18.75" customHeight="1" x14ac:dyDescent="0.25">
      <c r="A25" s="4">
        <v>16</v>
      </c>
      <c r="B25" s="240" t="s">
        <v>44</v>
      </c>
      <c r="C25" s="6">
        <v>1113658507</v>
      </c>
      <c r="D25" s="233" t="s">
        <v>18</v>
      </c>
      <c r="E25" s="233" t="s">
        <v>18</v>
      </c>
      <c r="F25" s="233" t="s">
        <v>23</v>
      </c>
      <c r="G25" s="233" t="s">
        <v>23</v>
      </c>
      <c r="H25" s="233" t="s">
        <v>18</v>
      </c>
      <c r="I25" s="233" t="s">
        <v>27</v>
      </c>
      <c r="J25" s="233" t="s">
        <v>23</v>
      </c>
      <c r="K25" s="234">
        <f t="shared" si="8"/>
        <v>44</v>
      </c>
      <c r="L25" s="235" t="s">
        <v>18</v>
      </c>
      <c r="M25" s="235" t="s">
        <v>18</v>
      </c>
      <c r="N25" s="235" t="s">
        <v>23</v>
      </c>
      <c r="O25" s="192">
        <f t="shared" si="1"/>
        <v>12</v>
      </c>
      <c r="P25" s="261" t="s">
        <v>26</v>
      </c>
      <c r="Q25" s="8" t="s">
        <v>18</v>
      </c>
      <c r="R25" s="256" t="s">
        <v>26</v>
      </c>
      <c r="S25" s="8" t="s">
        <v>18</v>
      </c>
      <c r="T25" s="256" t="s">
        <v>26</v>
      </c>
      <c r="U25" s="8" t="s">
        <v>18</v>
      </c>
      <c r="V25" s="255" t="s">
        <v>25</v>
      </c>
      <c r="W25" s="9">
        <f t="shared" si="2"/>
        <v>44</v>
      </c>
      <c r="X25" s="8" t="s">
        <v>18</v>
      </c>
      <c r="Y25" s="258" t="s">
        <v>23</v>
      </c>
      <c r="Z25" s="258" t="s">
        <v>26</v>
      </c>
      <c r="AA25" s="8" t="s">
        <v>18</v>
      </c>
      <c r="AB25" s="256" t="s">
        <v>23</v>
      </c>
      <c r="AC25" s="255" t="s">
        <v>27</v>
      </c>
      <c r="AD25" s="8" t="s">
        <v>18</v>
      </c>
      <c r="AE25" s="9">
        <f t="shared" si="3"/>
        <v>44</v>
      </c>
      <c r="AF25" s="255" t="s">
        <v>27</v>
      </c>
      <c r="AG25" s="8" t="s">
        <v>18</v>
      </c>
      <c r="AH25" s="257" t="s">
        <v>26</v>
      </c>
      <c r="AI25" s="8" t="s">
        <v>18</v>
      </c>
      <c r="AJ25" s="8" t="s">
        <v>41</v>
      </c>
      <c r="AK25" s="8" t="s">
        <v>41</v>
      </c>
      <c r="AL25" s="254" t="s">
        <v>23</v>
      </c>
      <c r="AM25" s="9">
        <f t="shared" si="4"/>
        <v>32</v>
      </c>
      <c r="AN25" s="11"/>
      <c r="AO25" s="11"/>
      <c r="AP25" s="11"/>
      <c r="AQ25" s="11"/>
      <c r="AR25" s="11"/>
      <c r="AS25" s="11"/>
      <c r="AT25" s="11"/>
      <c r="AU25" s="9"/>
      <c r="AV2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25,"D")+COUNTIF(I25,"D1")+COUNTIF(I25,"N")+COUNTIF(I25,"N1")+COUNTIF(I25,"Din")+COUNTIF(I25,"D1in")+COUNTIF(I25,"Nin")+COUNTIF(I25,"N1in")+COUNTIF(I25,"DN")+COUNTIF(I25,"TN")+COUNTIF(I25,"NM")+COUNTIF(I25,"DA")+COUNTIF(I25,"DA")+COUNTIF(M25,"D")+COUNTIF(M25,"D1")+COUNTIF(M25,"N")+COUNTIF(M25,"N1")+COUNTIF(M25,"Din")+COUNTIF(M25,"D1in")+COUNTIF(M25,"Nin")+COUNTIF(M25,"N1in")+COUNTIF(M25,"DN")+COUNTIF(M25,"TN")+COUNTIF(M25,"NM")+COUNTIF(M25,"DA")+COUNTIF(M25,"DA")+COUNTIF(U25,"D")+COUNTIF(U25,"D1")+COUNTIF(U25,"N")+COUNTIF(U25,"N1")+COUNTIF(U25,"Din")+COUNTIF(U25,"D1in")+COUNTIF(U25,"Nin")+COUNTIF(U25,"N1in")+COUNTIF(U25,"DN")+COUNTIF(U25,"TN")+COUNTIF(U25,"NM")+COUNTIF(U25,"DA")+COUNTIF(U25,"DA")+COUNTIF(AS25,"D")+COUNTIF(AS25,"D1")+COUNTIF(AS25,"N")+COUNTIF(AS25,"N1")+COUNTIF(AS25,"Din")+COUNTIF(AS25,"D1in")+COUNTIF(AS25,"Nin")+COUNTIF(AS25,"N1in")+COUNTIF(AS25,"DN")+COUNTIF(AS25,"TN")+COUNTIF(AS25,"NM")+COUNTIF(AS25,"DA")+COUNTIF(AS25,"DA")</f>
        <v>#REF!</v>
      </c>
      <c r="AW2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25,"D")+COUNTIF(J25,"D1")+COUNTIF(J25,"N")+COUNTIF(J25,"N1")+COUNTIF(J25,"Din")+COUNTIF(J25,"D1in")+COUNTIF(J25,"Nin")+COUNTIF(J25,"N1in")+COUNTIF(J25,"DN")+COUNTIF(J25,"TN")+COUNTIF(J25,"NM")+COUNTIF(J25,"DA")+COUNTIF(J25,"DA")+COUNTIF(N25,"D")+COUNTIF(N25,"D1")+COUNTIF(N25,"N")+COUNTIF(N25,"N1")+COUNTIF(N25,"Din")+COUNTIF(N25,"D1in")+COUNTIF(N25,"Nin")+COUNTIF(N25,"N1in")+COUNTIF(N25,"DN")+COUNTIF(N25,"TN")+COUNTIF(N25,"NM")+COUNTIF(N25,"DA")+COUNTIF(N25,"DA")+COUNTIF(V25,"D")+COUNTIF(V25,"D1")+COUNTIF(V25,"N")+COUNTIF(V25,"N1")+COUNTIF(V25,"Din")+COUNTIF(V25,"D1in")+COUNTIF(V25,"Nin")+COUNTIF(V25,"N1in")+COUNTIF(V25,"DN")+COUNTIF(V25,"TN")+COUNTIF(V25,"NM")+COUNTIF(V25,"DA")+COUNTIF(V25,"DA")+COUNTIF(AT25,"D")+COUNTIF(AT25,"D1")+COUNTIF(AT25,"N")+COUNTIF(AT25,"N1")+COUNTIF(AT25,"Din")+COUNTIF(AT25,"D1in")+COUNTIF(AT25,"Nin")+COUNTIF(AT25,"N1in")+COUNTIF(AT25,"DN")+COUNTIF(AT25,"TN")+COUNTIF(AT25,"NM")+COUNTIF(AT25,"DA")+COUNTIF(AT25,"DA")</f>
        <v>#REF!</v>
      </c>
      <c r="AX25" s="254" t="s">
        <v>23</v>
      </c>
      <c r="AY25" s="8" t="s">
        <v>18</v>
      </c>
      <c r="AZ25" s="8" t="s">
        <v>18</v>
      </c>
      <c r="BA25" s="258" t="s">
        <v>26</v>
      </c>
      <c r="BB25" s="8" t="s">
        <v>18</v>
      </c>
      <c r="BC25" s="258" t="s">
        <v>23</v>
      </c>
      <c r="BD25" s="255" t="s">
        <v>25</v>
      </c>
      <c r="BE25" s="9">
        <f t="shared" si="6"/>
        <v>44</v>
      </c>
    </row>
    <row r="26" spans="1:57" ht="16.5" customHeight="1" x14ac:dyDescent="0.25">
      <c r="A26" s="4">
        <v>17</v>
      </c>
      <c r="B26" s="5" t="s">
        <v>45</v>
      </c>
      <c r="C26" s="241">
        <v>1152218785</v>
      </c>
      <c r="D26" s="242" t="s">
        <v>46</v>
      </c>
      <c r="E26" s="242" t="s">
        <v>46</v>
      </c>
      <c r="F26" s="242" t="s">
        <v>46</v>
      </c>
      <c r="G26" s="242" t="s">
        <v>46</v>
      </c>
      <c r="H26" s="242" t="s">
        <v>46</v>
      </c>
      <c r="I26" s="242" t="s">
        <v>46</v>
      </c>
      <c r="J26" s="242" t="s">
        <v>46</v>
      </c>
      <c r="K26" s="243">
        <f t="shared" si="8"/>
        <v>0</v>
      </c>
      <c r="L26" s="235" t="s">
        <v>23</v>
      </c>
      <c r="M26" s="235" t="s">
        <v>18</v>
      </c>
      <c r="N26" s="235" t="s">
        <v>23</v>
      </c>
      <c r="O26" s="192">
        <f t="shared" si="1"/>
        <v>24</v>
      </c>
      <c r="P26" s="8" t="s">
        <v>18</v>
      </c>
      <c r="Q26" s="262" t="s">
        <v>26</v>
      </c>
      <c r="R26" s="8" t="s">
        <v>18</v>
      </c>
      <c r="S26" s="258" t="s">
        <v>26</v>
      </c>
      <c r="T26" s="8" t="s">
        <v>18</v>
      </c>
      <c r="U26" s="255" t="s">
        <v>27</v>
      </c>
      <c r="V26" s="380" t="s">
        <v>26</v>
      </c>
      <c r="W26" s="9">
        <f t="shared" si="2"/>
        <v>44</v>
      </c>
      <c r="X26" s="8" t="s">
        <v>41</v>
      </c>
      <c r="Y26" s="8" t="s">
        <v>41</v>
      </c>
      <c r="Z26" s="8" t="s">
        <v>41</v>
      </c>
      <c r="AA26" s="8" t="s">
        <v>41</v>
      </c>
      <c r="AB26" s="8" t="s">
        <v>41</v>
      </c>
      <c r="AC26" s="8" t="s">
        <v>41</v>
      </c>
      <c r="AD26" s="8" t="s">
        <v>41</v>
      </c>
      <c r="AE26" s="9">
        <f t="shared" si="3"/>
        <v>0</v>
      </c>
      <c r="AF26" s="8" t="s">
        <v>41</v>
      </c>
      <c r="AG26" s="8" t="s">
        <v>41</v>
      </c>
      <c r="AH26" s="8" t="s">
        <v>41</v>
      </c>
      <c r="AI26" s="8" t="s">
        <v>41</v>
      </c>
      <c r="AJ26" s="8" t="s">
        <v>41</v>
      </c>
      <c r="AK26" s="8" t="s">
        <v>41</v>
      </c>
      <c r="AL26" s="8" t="s">
        <v>41</v>
      </c>
      <c r="AM26" s="9">
        <f t="shared" si="4"/>
        <v>0</v>
      </c>
      <c r="AN26" s="15"/>
      <c r="AO26" s="15"/>
      <c r="AP26" s="15"/>
      <c r="AQ26" s="15"/>
      <c r="AR26" s="15"/>
      <c r="AS26" s="15"/>
      <c r="AT26" s="15"/>
      <c r="AU26" s="16"/>
      <c r="AV26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26,"D")+COUNTIF(I26,"D1")+COUNTIF(I26,"N")+COUNTIF(I26,"N1")+COUNTIF(I26,"Din")+COUNTIF(I26,"D1in")+COUNTIF(I26,"Nin")+COUNTIF(I26,"N1in")+COUNTIF(I26,"DN")+COUNTIF(I26,"TN")+COUNTIF(I26,"NM")+COUNTIF(I26,"DA")+COUNTIF(I26,"DA")+COUNTIF(M26,"D")+COUNTIF(M26,"D1")+COUNTIF(M26,"N")+COUNTIF(M26,"N1")+COUNTIF(M26,"Din")+COUNTIF(M26,"D1in")+COUNTIF(M26,"Nin")+COUNTIF(M26,"N1in")+COUNTIF(M26,"DN")+COUNTIF(M26,"TN")+COUNTIF(M26,"NM")+COUNTIF(M26,"DA")+COUNTIF(M26,"DA")+COUNTIF(U26,"D")+COUNTIF(U26,"D1")+COUNTIF(U26,"N")+COUNTIF(U26,"N1")+COUNTIF(U26,"Din")+COUNTIF(U26,"D1in")+COUNTIF(U26,"Nin")+COUNTIF(U26,"N1in")+COUNTIF(U26,"DN")+COUNTIF(U26,"TN")+COUNTIF(U26,"NM")+COUNTIF(U26,"DA")+COUNTIF(U26,"DA")+COUNTIF(AS26,"D")+COUNTIF(AS26,"D1")+COUNTIF(AS26,"N")+COUNTIF(AS26,"N1")+COUNTIF(AS26,"Din")+COUNTIF(AS26,"D1in")+COUNTIF(AS26,"Nin")+COUNTIF(AS26,"N1in")+COUNTIF(AS26,"DN")+COUNTIF(AS26,"TN")+COUNTIF(AS26,"NM")+COUNTIF(AS26,"DA")+COUNTIF(AS26,"DA")</f>
        <v>#REF!</v>
      </c>
      <c r="AW26" s="10"/>
      <c r="AX26" s="8" t="s">
        <v>41</v>
      </c>
      <c r="AY26" s="8" t="s">
        <v>18</v>
      </c>
      <c r="AZ26" s="257" t="s">
        <v>23</v>
      </c>
      <c r="BA26" s="255" t="s">
        <v>27</v>
      </c>
      <c r="BB26" s="256" t="s">
        <v>26</v>
      </c>
      <c r="BC26" s="8" t="s">
        <v>18</v>
      </c>
      <c r="BD26" s="256" t="s">
        <v>26</v>
      </c>
      <c r="BE26" s="9">
        <f t="shared" si="6"/>
        <v>44</v>
      </c>
    </row>
    <row r="27" spans="1:57" ht="21.75" customHeight="1" x14ac:dyDescent="0.25">
      <c r="A27" s="4">
        <v>18</v>
      </c>
      <c r="B27" s="6" t="s">
        <v>47</v>
      </c>
      <c r="C27" s="244">
        <v>31576297</v>
      </c>
      <c r="D27" s="233" t="s">
        <v>18</v>
      </c>
      <c r="E27" s="233" t="s">
        <v>26</v>
      </c>
      <c r="F27" s="233" t="s">
        <v>18</v>
      </c>
      <c r="G27" s="233" t="s">
        <v>23</v>
      </c>
      <c r="H27" s="233" t="s">
        <v>48</v>
      </c>
      <c r="I27" s="233" t="s">
        <v>25</v>
      </c>
      <c r="J27" s="233" t="s">
        <v>18</v>
      </c>
      <c r="K27" s="245">
        <f t="shared" si="8"/>
        <v>32</v>
      </c>
      <c r="L27" s="235" t="s">
        <v>25</v>
      </c>
      <c r="M27" s="235" t="s">
        <v>18</v>
      </c>
      <c r="N27" s="235" t="s">
        <v>23</v>
      </c>
      <c r="O27" s="192">
        <f t="shared" si="1"/>
        <v>20</v>
      </c>
      <c r="P27" s="255" t="s">
        <v>29</v>
      </c>
      <c r="Q27" s="263" t="s">
        <v>26</v>
      </c>
      <c r="R27" s="8" t="s">
        <v>18</v>
      </c>
      <c r="S27" s="256" t="s">
        <v>23</v>
      </c>
      <c r="T27" s="14" t="s">
        <v>18</v>
      </c>
      <c r="U27" s="263" t="s">
        <v>26</v>
      </c>
      <c r="V27" s="263" t="s">
        <v>26</v>
      </c>
      <c r="W27" s="9">
        <f t="shared" si="2"/>
        <v>56</v>
      </c>
      <c r="X27" s="8" t="s">
        <v>18</v>
      </c>
      <c r="Y27" s="8" t="s">
        <v>18</v>
      </c>
      <c r="Z27" s="255" t="s">
        <v>25</v>
      </c>
      <c r="AA27" s="8" t="s">
        <v>18</v>
      </c>
      <c r="AB27" s="8" t="s">
        <v>18</v>
      </c>
      <c r="AC27" s="256" t="s">
        <v>23</v>
      </c>
      <c r="AD27" s="256" t="s">
        <v>26</v>
      </c>
      <c r="AE27" s="9">
        <f t="shared" si="3"/>
        <v>32</v>
      </c>
      <c r="AF27" s="8" t="s">
        <v>18</v>
      </c>
      <c r="AG27" s="254" t="s">
        <v>23</v>
      </c>
      <c r="AH27" s="254" t="s">
        <v>23</v>
      </c>
      <c r="AI27" s="8" t="s">
        <v>18</v>
      </c>
      <c r="AJ27" s="254" t="s">
        <v>23</v>
      </c>
      <c r="AK27" s="275" t="s">
        <v>18</v>
      </c>
      <c r="AL27" s="254" t="s">
        <v>26</v>
      </c>
      <c r="AM27" s="9">
        <f t="shared" si="4"/>
        <v>48</v>
      </c>
      <c r="AN27" s="15"/>
      <c r="AO27" s="15"/>
      <c r="AP27" s="15"/>
      <c r="AQ27" s="15"/>
      <c r="AR27" s="15"/>
      <c r="AS27" s="15"/>
      <c r="AT27" s="15"/>
      <c r="AU27" s="16"/>
      <c r="AV27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27,"D")+COUNTIF(I27,"D1")+COUNTIF(I27,"N")+COUNTIF(I27,"N1")+COUNTIF(I27,"Din")+COUNTIF(I27,"D1in")+COUNTIF(I27,"Nin")+COUNTIF(I27,"N1in")+COUNTIF(I27,"DN")+COUNTIF(I27,"TN")+COUNTIF(I27,"NM")+COUNTIF(I27,"DA")+COUNTIF(I27,"DA")+COUNTIF(M27,"D")+COUNTIF(M27,"D1")+COUNTIF(M27,"N")+COUNTIF(M27,"N1")+COUNTIF(M27,"Din")+COUNTIF(M27,"D1in")+COUNTIF(M27,"Nin")+COUNTIF(M27,"N1in")+COUNTIF(M27,"DN")+COUNTIF(M27,"TN")+COUNTIF(M27,"NM")+COUNTIF(M27,"DA")+COUNTIF(M27,"DA")+COUNTIF(U27,"D")+COUNTIF(U27,"D1")+COUNTIF(U27,"N")+COUNTIF(U27,"N1")+COUNTIF(U27,"Din")+COUNTIF(U27,"D1in")+COUNTIF(U27,"Nin")+COUNTIF(U27,"N1in")+COUNTIF(U27,"DN")+COUNTIF(U27,"TN")+COUNTIF(U27,"NM")+COUNTIF(U27,"DA")+COUNTIF(U27,"DA")+COUNTIF(AS27,"D")+COUNTIF(AS27,"D1")+COUNTIF(AS27,"N")+COUNTIF(AS27,"N1")+COUNTIF(AS27,"Din")+COUNTIF(AS27,"D1in")+COUNTIF(AS27,"Nin")+COUNTIF(AS27,"N1in")+COUNTIF(AS27,"DN")+COUNTIF(AS27,"TN")+COUNTIF(AS27,"NM")+COUNTIF(AS27,"DA")+COUNTIF(AS27,"DA")</f>
        <v>#REF!</v>
      </c>
      <c r="AW27" s="10"/>
      <c r="AX27" s="14" t="s">
        <v>18</v>
      </c>
      <c r="AY27" s="264" t="s">
        <v>26</v>
      </c>
      <c r="AZ27" s="264" t="s">
        <v>26</v>
      </c>
      <c r="BA27" s="14" t="s">
        <v>18</v>
      </c>
      <c r="BB27" s="265" t="s">
        <v>29</v>
      </c>
      <c r="BC27" s="265" t="s">
        <v>27</v>
      </c>
      <c r="BD27" s="14" t="s">
        <v>18</v>
      </c>
      <c r="BE27" s="9">
        <f t="shared" si="6"/>
        <v>40</v>
      </c>
    </row>
    <row r="28" spans="1:57" ht="21" customHeight="1" x14ac:dyDescent="0.25">
      <c r="A28" s="4">
        <v>19</v>
      </c>
      <c r="B28" s="246" t="s">
        <v>49</v>
      </c>
      <c r="C28" s="244">
        <v>1113643698</v>
      </c>
      <c r="D28" s="233" t="s">
        <v>26</v>
      </c>
      <c r="E28" s="233" t="s">
        <v>18</v>
      </c>
      <c r="F28" s="233" t="s">
        <v>25</v>
      </c>
      <c r="G28" s="233" t="s">
        <v>18</v>
      </c>
      <c r="H28" s="233" t="s">
        <v>18</v>
      </c>
      <c r="I28" s="233" t="s">
        <v>23</v>
      </c>
      <c r="J28" s="233" t="s">
        <v>23</v>
      </c>
      <c r="K28" s="245">
        <f t="shared" si="8"/>
        <v>44</v>
      </c>
      <c r="L28" s="235" t="s">
        <v>26</v>
      </c>
      <c r="M28" s="235" t="s">
        <v>18</v>
      </c>
      <c r="N28" s="235" t="s">
        <v>18</v>
      </c>
      <c r="O28" s="192">
        <f t="shared" si="1"/>
        <v>12</v>
      </c>
      <c r="P28" s="8" t="s">
        <v>18</v>
      </c>
      <c r="Q28" s="264" t="s">
        <v>26</v>
      </c>
      <c r="R28" s="8" t="s">
        <v>18</v>
      </c>
      <c r="S28" s="264" t="s">
        <v>26</v>
      </c>
      <c r="T28" s="14" t="s">
        <v>18</v>
      </c>
      <c r="U28" s="265" t="s">
        <v>29</v>
      </c>
      <c r="V28" s="262" t="s">
        <v>26</v>
      </c>
      <c r="W28" s="9">
        <f t="shared" si="2"/>
        <v>44</v>
      </c>
      <c r="X28" s="8" t="s">
        <v>18</v>
      </c>
      <c r="Y28" s="255" t="s">
        <v>29</v>
      </c>
      <c r="Z28" s="19" t="s">
        <v>18</v>
      </c>
      <c r="AA28" s="258" t="s">
        <v>23</v>
      </c>
      <c r="AB28" s="258" t="s">
        <v>23</v>
      </c>
      <c r="AC28" s="262" t="s">
        <v>26</v>
      </c>
      <c r="AD28" s="14" t="s">
        <v>18</v>
      </c>
      <c r="AE28" s="9">
        <f t="shared" si="3"/>
        <v>44</v>
      </c>
      <c r="AF28" s="256" t="s">
        <v>26</v>
      </c>
      <c r="AG28" s="8" t="s">
        <v>18</v>
      </c>
      <c r="AH28" s="255" t="s">
        <v>27</v>
      </c>
      <c r="AI28" s="257" t="s">
        <v>23</v>
      </c>
      <c r="AJ28" s="8" t="s">
        <v>18</v>
      </c>
      <c r="AK28" s="270" t="s">
        <v>41</v>
      </c>
      <c r="AL28" s="8" t="s">
        <v>41</v>
      </c>
      <c r="AM28" s="9">
        <f t="shared" si="4"/>
        <v>32</v>
      </c>
      <c r="AN28" s="15"/>
      <c r="AO28" s="15"/>
      <c r="AP28" s="15"/>
      <c r="AQ28" s="15"/>
      <c r="AR28" s="15"/>
      <c r="AS28" s="15"/>
      <c r="AT28" s="15"/>
      <c r="AU28" s="16"/>
      <c r="AV28" s="10"/>
      <c r="AW28" s="10"/>
      <c r="AX28" s="14" t="s">
        <v>41</v>
      </c>
      <c r="AY28" s="251" t="s">
        <v>23</v>
      </c>
      <c r="AZ28" s="258" t="s">
        <v>23</v>
      </c>
      <c r="BA28" s="265" t="s">
        <v>29</v>
      </c>
      <c r="BB28" s="14" t="s">
        <v>18</v>
      </c>
      <c r="BC28" s="263" t="s">
        <v>26</v>
      </c>
      <c r="BD28" s="14" t="s">
        <v>18</v>
      </c>
      <c r="BE28" s="9">
        <f t="shared" si="6"/>
        <v>44</v>
      </c>
    </row>
    <row r="29" spans="1:57" ht="22.5" customHeight="1" x14ac:dyDescent="0.25">
      <c r="A29" s="20">
        <v>20</v>
      </c>
      <c r="B29" s="6" t="s">
        <v>50</v>
      </c>
      <c r="C29" s="244">
        <v>1113645159</v>
      </c>
      <c r="D29" s="233" t="s">
        <v>29</v>
      </c>
      <c r="E29" s="233" t="s">
        <v>26</v>
      </c>
      <c r="F29" s="233" t="s">
        <v>18</v>
      </c>
      <c r="G29" s="233" t="s">
        <v>26</v>
      </c>
      <c r="H29" s="233" t="s">
        <v>26</v>
      </c>
      <c r="I29" s="233" t="s">
        <v>18</v>
      </c>
      <c r="J29" s="233" t="s">
        <v>26</v>
      </c>
      <c r="K29" s="245">
        <f t="shared" si="8"/>
        <v>56</v>
      </c>
      <c r="L29" s="235" t="s">
        <v>18</v>
      </c>
      <c r="M29" s="235" t="s">
        <v>23</v>
      </c>
      <c r="N29" s="235" t="s">
        <v>23</v>
      </c>
      <c r="O29" s="192">
        <f t="shared" si="1"/>
        <v>24</v>
      </c>
      <c r="P29" s="258" t="s">
        <v>26</v>
      </c>
      <c r="Q29" s="14" t="s">
        <v>18</v>
      </c>
      <c r="R29" s="14" t="s">
        <v>18</v>
      </c>
      <c r="S29" s="265" t="s">
        <v>29</v>
      </c>
      <c r="T29" s="264" t="s">
        <v>23</v>
      </c>
      <c r="U29" s="264" t="s">
        <v>23</v>
      </c>
      <c r="V29" s="14" t="s">
        <v>18</v>
      </c>
      <c r="W29" s="9">
        <f t="shared" si="2"/>
        <v>44</v>
      </c>
      <c r="X29" s="257" t="s">
        <v>23</v>
      </c>
      <c r="Y29" s="255" t="s">
        <v>25</v>
      </c>
      <c r="Z29" s="8" t="s">
        <v>18</v>
      </c>
      <c r="AA29" s="258" t="s">
        <v>26</v>
      </c>
      <c r="AB29" s="8" t="s">
        <v>18</v>
      </c>
      <c r="AC29" s="264" t="s">
        <v>26</v>
      </c>
      <c r="AD29" s="14" t="s">
        <v>18</v>
      </c>
      <c r="AE29" s="9">
        <f t="shared" si="3"/>
        <v>44</v>
      </c>
      <c r="AF29" s="257" t="s">
        <v>23</v>
      </c>
      <c r="AG29" s="257" t="s">
        <v>23</v>
      </c>
      <c r="AH29" s="8" t="s">
        <v>18</v>
      </c>
      <c r="AI29" s="258" t="s">
        <v>26</v>
      </c>
      <c r="AJ29" s="8" t="s">
        <v>18</v>
      </c>
      <c r="AK29" s="14" t="s">
        <v>18</v>
      </c>
      <c r="AL29" s="265" t="s">
        <v>25</v>
      </c>
      <c r="AM29" s="9">
        <f t="shared" si="4"/>
        <v>44</v>
      </c>
      <c r="AN29" s="15"/>
      <c r="AO29" s="15"/>
      <c r="AP29" s="15"/>
      <c r="AQ29" s="15"/>
      <c r="AR29" s="15"/>
      <c r="AS29" s="15"/>
      <c r="AT29" s="15"/>
      <c r="AU29" s="16"/>
      <c r="AV29" s="10"/>
      <c r="AW29" s="10"/>
      <c r="AX29" s="272" t="s">
        <v>26</v>
      </c>
      <c r="AY29" s="14" t="s">
        <v>18</v>
      </c>
      <c r="AZ29" s="14" t="s">
        <v>18</v>
      </c>
      <c r="BA29" s="263" t="s">
        <v>23</v>
      </c>
      <c r="BB29" s="265" t="s">
        <v>25</v>
      </c>
      <c r="BC29" s="14" t="s">
        <v>18</v>
      </c>
      <c r="BD29" s="262" t="s">
        <v>26</v>
      </c>
      <c r="BE29" s="9">
        <f t="shared" si="6"/>
        <v>44</v>
      </c>
    </row>
    <row r="30" spans="1:57" ht="18.75" customHeight="1" x14ac:dyDescent="0.25">
      <c r="A30" s="21">
        <v>21</v>
      </c>
      <c r="B30" s="22" t="s">
        <v>51</v>
      </c>
      <c r="C30" s="247">
        <v>1112227627</v>
      </c>
      <c r="D30" s="248" t="s">
        <v>23</v>
      </c>
      <c r="E30" s="248" t="s">
        <v>27</v>
      </c>
      <c r="F30" s="248" t="s">
        <v>26</v>
      </c>
      <c r="G30" s="248" t="s">
        <v>18</v>
      </c>
      <c r="H30" s="248" t="s">
        <v>23</v>
      </c>
      <c r="I30" s="248" t="s">
        <v>18</v>
      </c>
      <c r="J30" s="248" t="s">
        <v>18</v>
      </c>
      <c r="K30" s="249">
        <f t="shared" si="8"/>
        <v>44</v>
      </c>
      <c r="L30" s="235" t="s">
        <v>21</v>
      </c>
      <c r="M30" s="235" t="s">
        <v>21</v>
      </c>
      <c r="N30" s="235" t="s">
        <v>21</v>
      </c>
      <c r="O30" s="192">
        <f t="shared" si="1"/>
        <v>0</v>
      </c>
      <c r="P30" s="238" t="s">
        <v>21</v>
      </c>
      <c r="Q30" s="238" t="s">
        <v>21</v>
      </c>
      <c r="R30" s="238" t="s">
        <v>21</v>
      </c>
      <c r="S30" s="238" t="s">
        <v>21</v>
      </c>
      <c r="T30" s="238" t="s">
        <v>21</v>
      </c>
      <c r="U30" s="238" t="s">
        <v>21</v>
      </c>
      <c r="V30" s="238" t="s">
        <v>21</v>
      </c>
      <c r="W30" s="9">
        <f t="shared" si="2"/>
        <v>0</v>
      </c>
      <c r="X30" s="238" t="s">
        <v>21</v>
      </c>
      <c r="Y30" s="256" t="s">
        <v>26</v>
      </c>
      <c r="Z30" s="8" t="s">
        <v>18</v>
      </c>
      <c r="AA30" s="257" t="s">
        <v>26</v>
      </c>
      <c r="AB30" s="8" t="s">
        <v>18</v>
      </c>
      <c r="AC30" s="255" t="s">
        <v>29</v>
      </c>
      <c r="AD30" s="257" t="s">
        <v>23</v>
      </c>
      <c r="AE30" s="9">
        <f t="shared" si="3"/>
        <v>44</v>
      </c>
      <c r="AF30" s="8" t="s">
        <v>18</v>
      </c>
      <c r="AG30" s="255" t="s">
        <v>27</v>
      </c>
      <c r="AH30" s="256" t="s">
        <v>26</v>
      </c>
      <c r="AI30" s="8" t="s">
        <v>18</v>
      </c>
      <c r="AJ30" s="256" t="s">
        <v>26</v>
      </c>
      <c r="AK30" s="8" t="s">
        <v>18</v>
      </c>
      <c r="AL30" s="256" t="s">
        <v>23</v>
      </c>
      <c r="AM30" s="9">
        <f t="shared" si="4"/>
        <v>44</v>
      </c>
      <c r="AN30" s="15"/>
      <c r="AO30" s="15"/>
      <c r="AP30" s="15"/>
      <c r="AQ30" s="15"/>
      <c r="AR30" s="15"/>
      <c r="AS30" s="15"/>
      <c r="AT30" s="15"/>
      <c r="AU30" s="16"/>
      <c r="AV30" s="10"/>
      <c r="AW30" s="10"/>
      <c r="AX30" s="273" t="s">
        <v>18</v>
      </c>
      <c r="AY30" s="8" t="s">
        <v>18</v>
      </c>
      <c r="AZ30" s="255" t="s">
        <v>23</v>
      </c>
      <c r="BA30" s="8" t="s">
        <v>18</v>
      </c>
      <c r="BB30" s="256" t="s">
        <v>23</v>
      </c>
      <c r="BC30" s="255" t="s">
        <v>29</v>
      </c>
      <c r="BD30" s="255" t="s">
        <v>23</v>
      </c>
      <c r="BE30" s="9">
        <f t="shared" si="6"/>
        <v>44</v>
      </c>
    </row>
    <row r="31" spans="1:57" ht="18.75" customHeight="1" x14ac:dyDescent="0.25">
      <c r="A31" s="23">
        <v>22</v>
      </c>
      <c r="B31" s="18" t="s">
        <v>52</v>
      </c>
      <c r="C31" s="250">
        <v>1003338866</v>
      </c>
      <c r="D31" s="251" t="s">
        <v>18</v>
      </c>
      <c r="E31" s="233" t="s">
        <v>23</v>
      </c>
      <c r="F31" s="233" t="s">
        <v>23</v>
      </c>
      <c r="G31" s="233" t="s">
        <v>18</v>
      </c>
      <c r="H31" s="233" t="s">
        <v>29</v>
      </c>
      <c r="I31" s="233" t="s">
        <v>23</v>
      </c>
      <c r="J31" s="233" t="s">
        <v>48</v>
      </c>
      <c r="K31" s="243">
        <f t="shared" si="8"/>
        <v>44</v>
      </c>
      <c r="L31" s="235" t="s">
        <v>18</v>
      </c>
      <c r="M31" s="235" t="s">
        <v>26</v>
      </c>
      <c r="N31" s="235" t="s">
        <v>18</v>
      </c>
      <c r="O31" s="193">
        <f t="shared" si="1"/>
        <v>12</v>
      </c>
      <c r="P31" s="8" t="s">
        <v>18</v>
      </c>
      <c r="Q31" s="264" t="s">
        <v>23</v>
      </c>
      <c r="R31" s="264" t="s">
        <v>26</v>
      </c>
      <c r="S31" s="14" t="s">
        <v>18</v>
      </c>
      <c r="T31" s="265" t="s">
        <v>27</v>
      </c>
      <c r="U31" s="14" t="s">
        <v>18</v>
      </c>
      <c r="V31" s="264" t="s">
        <v>23</v>
      </c>
      <c r="W31" s="16">
        <f t="shared" si="2"/>
        <v>44</v>
      </c>
      <c r="X31" s="255" t="s">
        <v>25</v>
      </c>
      <c r="Y31" s="8" t="s">
        <v>18</v>
      </c>
      <c r="Z31" s="256" t="s">
        <v>23</v>
      </c>
      <c r="AA31" s="256" t="s">
        <v>26</v>
      </c>
      <c r="AB31" s="256" t="s">
        <v>26</v>
      </c>
      <c r="AC31" s="14" t="s">
        <v>18</v>
      </c>
      <c r="AD31" s="14" t="s">
        <v>18</v>
      </c>
      <c r="AE31" s="9">
        <f t="shared" si="3"/>
        <v>44</v>
      </c>
      <c r="AF31" s="14" t="s">
        <v>18</v>
      </c>
      <c r="AG31" s="262" t="s">
        <v>26</v>
      </c>
      <c r="AH31" s="14" t="s">
        <v>18</v>
      </c>
      <c r="AI31" s="262" t="s">
        <v>23</v>
      </c>
      <c r="AJ31" s="14" t="s">
        <v>18</v>
      </c>
      <c r="AK31" s="265" t="s">
        <v>27</v>
      </c>
      <c r="AL31" s="263" t="s">
        <v>26</v>
      </c>
      <c r="AM31" s="9">
        <f t="shared" si="4"/>
        <v>44</v>
      </c>
      <c r="AN31" s="15"/>
      <c r="AO31" s="15"/>
      <c r="AP31" s="15"/>
      <c r="AQ31" s="15"/>
      <c r="AR31" s="15"/>
      <c r="AS31" s="15"/>
      <c r="AT31" s="15"/>
      <c r="AU31" s="16"/>
      <c r="AV31" s="10"/>
      <c r="AW31" s="10"/>
      <c r="AX31" s="14" t="s">
        <v>18</v>
      </c>
      <c r="AY31" s="263" t="s">
        <v>23</v>
      </c>
      <c r="AZ31" s="263" t="s">
        <v>26</v>
      </c>
      <c r="BA31" s="14" t="s">
        <v>18</v>
      </c>
      <c r="BB31" s="265" t="s">
        <v>27</v>
      </c>
      <c r="BC31" s="272" t="s">
        <v>26</v>
      </c>
      <c r="BD31" s="14" t="s">
        <v>18</v>
      </c>
      <c r="BE31" s="16">
        <f t="shared" si="6"/>
        <v>44</v>
      </c>
    </row>
    <row r="32" spans="1:57" ht="18.75" customHeight="1" x14ac:dyDescent="0.25">
      <c r="A32" s="24">
        <v>23</v>
      </c>
      <c r="B32" s="252" t="s">
        <v>160</v>
      </c>
      <c r="C32" s="247">
        <v>1113649028</v>
      </c>
      <c r="D32" s="233"/>
      <c r="E32" s="233"/>
      <c r="F32" s="233"/>
      <c r="G32" s="233"/>
      <c r="H32" s="233"/>
      <c r="I32" s="233"/>
      <c r="J32" s="233"/>
      <c r="K32" s="243"/>
      <c r="L32" s="235" t="s">
        <v>54</v>
      </c>
      <c r="M32" s="235" t="s">
        <v>55</v>
      </c>
      <c r="N32" s="235" t="s">
        <v>18</v>
      </c>
      <c r="O32" s="193">
        <f t="shared" si="1"/>
        <v>12</v>
      </c>
      <c r="P32" s="266" t="s">
        <v>26</v>
      </c>
      <c r="Q32" s="8" t="s">
        <v>18</v>
      </c>
      <c r="R32" s="254" t="s">
        <v>23</v>
      </c>
      <c r="S32" s="233" t="s">
        <v>18</v>
      </c>
      <c r="T32" s="254" t="s">
        <v>23</v>
      </c>
      <c r="U32" s="254" t="s">
        <v>26</v>
      </c>
      <c r="V32" s="8" t="s">
        <v>18</v>
      </c>
      <c r="W32" s="9">
        <f t="shared" si="2"/>
        <v>48</v>
      </c>
      <c r="X32" s="8" t="s">
        <v>18</v>
      </c>
      <c r="Y32" s="258" t="s">
        <v>26</v>
      </c>
      <c r="Z32" s="8" t="s">
        <v>18</v>
      </c>
      <c r="AA32" s="255" t="s">
        <v>29</v>
      </c>
      <c r="AB32" s="258" t="s">
        <v>26</v>
      </c>
      <c r="AC32" s="19" t="s">
        <v>18</v>
      </c>
      <c r="AD32" s="254" t="s">
        <v>23</v>
      </c>
      <c r="AE32" s="9">
        <f t="shared" si="3"/>
        <v>44</v>
      </c>
      <c r="AF32" s="257" t="s">
        <v>26</v>
      </c>
      <c r="AG32" s="8" t="s">
        <v>18</v>
      </c>
      <c r="AH32" s="8" t="s">
        <v>18</v>
      </c>
      <c r="AI32" s="254" t="s">
        <v>23</v>
      </c>
      <c r="AJ32" s="255" t="s">
        <v>25</v>
      </c>
      <c r="AK32" s="8" t="s">
        <v>18</v>
      </c>
      <c r="AL32" s="8" t="s">
        <v>18</v>
      </c>
      <c r="AM32" s="9">
        <f t="shared" si="4"/>
        <v>32</v>
      </c>
      <c r="AN32" s="11"/>
      <c r="AO32" s="11"/>
      <c r="AP32" s="11"/>
      <c r="AQ32" s="11"/>
      <c r="AR32" s="11"/>
      <c r="AS32" s="11"/>
      <c r="AT32" s="11"/>
      <c r="AU32" s="9"/>
      <c r="AV3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32,"D")+COUNTIF(I32,"D1")+COUNTIF(I32,"N")+COUNTIF(I32,"N1")+COUNTIF(I32,"Din")+COUNTIF(I32,"D1in")+COUNTIF(I32,"Nin")+COUNTIF(I32,"N1in")+COUNTIF(I32,"DN")+COUNTIF(I32,"TN")+COUNTIF(I32,"NM")+COUNTIF(I32,"DA")+COUNTIF(I32,"DA")+COUNTIF(M32,"D")+COUNTIF(M32,"D1")+COUNTIF(M32,"N")+COUNTIF(M32,"N1")+COUNTIF(M32,"Din")+COUNTIF(M32,"D1in")+COUNTIF(M32,"Nin")+COUNTIF(M32,"N1in")+COUNTIF(M32,"DN")+COUNTIF(M32,"TN")+COUNTIF(M32,"NM")+COUNTIF(M32,"DA")+COUNTIF(M32,"DA")+COUNTIF(U32,"D")+COUNTIF(U32,"D1")+COUNTIF(U32,"N")+COUNTIF(U32,"N1")+COUNTIF(U32,"Din")+COUNTIF(U32,"D1in")+COUNTIF(U32,"Nin")+COUNTIF(U32,"N1in")+COUNTIF(U32,"DN")+COUNTIF(U32,"TN")+COUNTIF(U32,"NM")+COUNTIF(U32,"DA")+COUNTIF(U32,"DA")+COUNTIF(AS32,"D")+COUNTIF(AS32,"D1")+COUNTIF(AS32,"N")+COUNTIF(AS32,"N1")+COUNTIF(AS32,"Din")+COUNTIF(AS32,"D1in")+COUNTIF(AS32,"Nin")+COUNTIF(AS32,"N1in")+COUNTIF(AS32,"DN")+COUNTIF(AS32,"TN")+COUNTIF(AS32,"NM")+COUNTIF(AS32,"DA")+COUNTIF(AS32,"DA")</f>
        <v>#REF!</v>
      </c>
      <c r="AW32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32,"D")+COUNTIF(J32,"D1")+COUNTIF(J32,"N")+COUNTIF(J32,"N1")+COUNTIF(J32,"Din")+COUNTIF(J32,"D1in")+COUNTIF(J32,"Nin")+COUNTIF(J32,"N1in")+COUNTIF(J32,"DN")+COUNTIF(J32,"TN")+COUNTIF(J32,"NM")+COUNTIF(J32,"DA")+COUNTIF(J32,"DA")+COUNTIF(N32,"D")+COUNTIF(N32,"D1")+COUNTIF(N32,"N")+COUNTIF(N32,"N1")+COUNTIF(N32,"Din")+COUNTIF(N32,"D1in")+COUNTIF(N32,"Nin")+COUNTIF(N32,"N1in")+COUNTIF(N32,"DN")+COUNTIF(N32,"TN")+COUNTIF(N32,"NM")+COUNTIF(N32,"DA")+COUNTIF(N32,"DA")+COUNTIF(V32,"D")+COUNTIF(V32,"D1")+COUNTIF(V32,"N")+COUNTIF(V32,"N1")+COUNTIF(V32,"Din")+COUNTIF(V32,"D1in")+COUNTIF(V32,"Nin")+COUNTIF(V32,"N1in")+COUNTIF(V32,"DN")+COUNTIF(V32,"TN")+COUNTIF(V32,"NM")+COUNTIF(V32,"DA")+COUNTIF(V32,"DA")+COUNTIF(AT32,"D")+COUNTIF(AT32,"D1")+COUNTIF(AT32,"N")+COUNTIF(AT32,"N1")+COUNTIF(AT32,"Din")+COUNTIF(AT32,"D1in")+COUNTIF(AT32,"Nin")+COUNTIF(AT32,"N1in")+COUNTIF(AT32,"DN")+COUNTIF(AT32,"TN")+COUNTIF(AT32,"NM")+COUNTIF(AT32,"DA")+COUNTIF(AT32,"DA")</f>
        <v>#REF!</v>
      </c>
      <c r="AX32" s="258" t="s">
        <v>23</v>
      </c>
      <c r="AY32" s="255" t="s">
        <v>25</v>
      </c>
      <c r="AZ32" s="8" t="s">
        <v>18</v>
      </c>
      <c r="BA32" s="254" t="s">
        <v>26</v>
      </c>
      <c r="BB32" s="8" t="s">
        <v>18</v>
      </c>
      <c r="BC32" s="8" t="s">
        <v>18</v>
      </c>
      <c r="BD32" s="254" t="s">
        <v>23</v>
      </c>
      <c r="BE32" s="16">
        <f t="shared" si="6"/>
        <v>44</v>
      </c>
    </row>
    <row r="33" spans="1:57" ht="20.25" hidden="1" customHeight="1" x14ac:dyDescent="0.25">
      <c r="A33" s="24">
        <v>24</v>
      </c>
      <c r="B33" s="17"/>
      <c r="C33" s="17"/>
      <c r="D33" s="25"/>
      <c r="E33" s="25"/>
      <c r="F33" s="25"/>
      <c r="G33" s="26"/>
      <c r="H33" s="26"/>
      <c r="I33" s="26"/>
      <c r="J33" s="26" t="s">
        <v>18</v>
      </c>
      <c r="K33" s="27"/>
      <c r="L33" s="26"/>
      <c r="M33" s="26"/>
      <c r="N33" s="26"/>
      <c r="O33" s="29">
        <f t="shared" si="1"/>
        <v>0</v>
      </c>
      <c r="P33" s="28"/>
      <c r="Q33" s="28"/>
      <c r="R33" s="28"/>
      <c r="S33" s="8"/>
      <c r="T33" s="8"/>
      <c r="U33" s="28"/>
      <c r="V33" s="28"/>
      <c r="W33" s="16">
        <f t="shared" si="2"/>
        <v>0</v>
      </c>
      <c r="X33" s="28"/>
      <c r="Y33" s="28"/>
      <c r="Z33" s="28"/>
      <c r="AA33" s="8"/>
      <c r="AB33" s="8"/>
      <c r="AC33" s="28"/>
      <c r="AD33" s="28"/>
      <c r="AE33" s="9">
        <f t="shared" si="3"/>
        <v>0</v>
      </c>
      <c r="AF33" s="28"/>
      <c r="AG33" s="28"/>
      <c r="AH33" s="28"/>
      <c r="AI33" s="28"/>
      <c r="AJ33" s="28"/>
      <c r="AK33" s="28"/>
      <c r="AL33" s="28"/>
      <c r="AM33" s="9">
        <f t="shared" si="4"/>
        <v>0</v>
      </c>
      <c r="AN33" s="15"/>
      <c r="AO33" s="15"/>
      <c r="AP33" s="15"/>
      <c r="AQ33" s="15"/>
      <c r="AR33" s="15"/>
      <c r="AS33" s="15"/>
      <c r="AT33" s="15"/>
      <c r="AU33" s="16"/>
      <c r="AV33" s="10"/>
      <c r="AW33" s="10"/>
      <c r="AX33" s="28"/>
      <c r="AY33" s="28"/>
      <c r="AZ33" s="28"/>
      <c r="BA33" s="14"/>
      <c r="BB33" s="14"/>
      <c r="BC33" s="14"/>
      <c r="BD33" s="14"/>
      <c r="BE33" s="16">
        <f t="shared" si="6"/>
        <v>0</v>
      </c>
    </row>
    <row r="34" spans="1:57" ht="15.75" hidden="1" customHeight="1" x14ac:dyDescent="0.25">
      <c r="A34" s="24">
        <v>25</v>
      </c>
      <c r="B34" s="30"/>
      <c r="C34" s="30"/>
      <c r="D34" s="28"/>
      <c r="E34" s="28"/>
      <c r="F34" s="28"/>
      <c r="G34" s="31"/>
      <c r="H34" s="31"/>
      <c r="I34" s="31"/>
      <c r="J34" s="31"/>
      <c r="K34" s="32"/>
      <c r="L34" s="14"/>
      <c r="M34" s="14"/>
      <c r="N34" s="8"/>
      <c r="O34" s="16"/>
      <c r="P34" s="28"/>
      <c r="Q34" s="28"/>
      <c r="R34" s="28"/>
      <c r="S34" s="8"/>
      <c r="T34" s="8"/>
      <c r="U34" s="28"/>
      <c r="V34" s="28"/>
      <c r="W34" s="9"/>
      <c r="X34" s="28"/>
      <c r="Y34" s="28"/>
      <c r="Z34" s="28"/>
      <c r="AA34" s="8"/>
      <c r="AB34" s="8"/>
      <c r="AC34" s="28"/>
      <c r="AD34" s="28"/>
      <c r="AE34" s="9"/>
      <c r="AF34" s="28"/>
      <c r="AG34" s="28"/>
      <c r="AH34" s="28"/>
      <c r="AI34" s="28"/>
      <c r="AJ34" s="28"/>
      <c r="AK34" s="28"/>
      <c r="AL34" s="28"/>
      <c r="AM34" s="9"/>
      <c r="AN34" s="15"/>
      <c r="AO34" s="15"/>
      <c r="AP34" s="15"/>
      <c r="AQ34" s="15"/>
      <c r="AR34" s="15"/>
      <c r="AS34" s="15"/>
      <c r="AT34" s="15"/>
      <c r="AU34" s="16"/>
      <c r="AV34" s="10"/>
      <c r="AW34" s="10"/>
      <c r="AX34" s="28"/>
      <c r="AY34" s="28"/>
      <c r="AZ34" s="28"/>
      <c r="BA34" s="14"/>
      <c r="BB34" s="14"/>
      <c r="BC34" s="14"/>
      <c r="BD34" s="14"/>
      <c r="BE34" s="16"/>
    </row>
    <row r="35" spans="1:57" ht="20.25" customHeight="1" x14ac:dyDescent="0.25">
      <c r="A35" s="348" t="s">
        <v>56</v>
      </c>
      <c r="B35" s="292"/>
      <c r="C35" s="294"/>
      <c r="D35" s="33">
        <f t="shared" ref="D35:J35" si="10">COUNTIF(D10:D34,"D")+COUNTIF(D10:D34,"D1")+COUNTIF(D10:D34,"DN")+COUNTIF(D10:D34,"TN")*0.5+COUNTIF(D10:D34,"NM")*0.5+COUNTIF(D10:D34,"D2")</f>
        <v>4</v>
      </c>
      <c r="E35" s="33">
        <f t="shared" si="10"/>
        <v>4</v>
      </c>
      <c r="F35" s="33">
        <f t="shared" si="10"/>
        <v>4</v>
      </c>
      <c r="G35" s="33">
        <f t="shared" si="10"/>
        <v>4</v>
      </c>
      <c r="H35" s="33">
        <f t="shared" si="10"/>
        <v>3</v>
      </c>
      <c r="I35" s="33">
        <f t="shared" si="10"/>
        <v>4</v>
      </c>
      <c r="J35" s="33">
        <f t="shared" si="10"/>
        <v>5</v>
      </c>
      <c r="K35" s="339"/>
      <c r="L35" s="34">
        <f t="shared" ref="L35:N35" si="11">COUNTIF(L10:L34,"D")+COUNTIF(L10:L34,"D1")+COUNTIF(L10:L34,"DN")+COUNTIF(L10:L34,"TN")*0.5+COUNTIF(L10:L34,"NM")*0.5+COUNTIF(L10:L34,"D2")</f>
        <v>4</v>
      </c>
      <c r="M35" s="34">
        <f t="shared" si="11"/>
        <v>4</v>
      </c>
      <c r="N35" s="34">
        <f t="shared" si="11"/>
        <v>5</v>
      </c>
      <c r="O35" s="342"/>
      <c r="P35" s="34">
        <f t="shared" ref="P35:V35" si="12">COUNTIF(P10:P34,"D")+COUNTIF(P10:P34,"D1")+COUNTIF(P10:P34,"DN")+COUNTIF(P10:P34,"TN")*0.5+COUNTIF(P10:P34,"NM")*0.5+COUNTIF(P10:P34,"D2")</f>
        <v>4</v>
      </c>
      <c r="Q35" s="34">
        <f t="shared" si="12"/>
        <v>4</v>
      </c>
      <c r="R35" s="34">
        <f t="shared" si="12"/>
        <v>4</v>
      </c>
      <c r="S35" s="34">
        <f t="shared" si="12"/>
        <v>3</v>
      </c>
      <c r="T35" s="34">
        <f t="shared" si="12"/>
        <v>4</v>
      </c>
      <c r="U35" s="34">
        <f t="shared" si="12"/>
        <v>4</v>
      </c>
      <c r="V35" s="34">
        <f t="shared" si="12"/>
        <v>4</v>
      </c>
      <c r="W35" s="342"/>
      <c r="X35" s="34">
        <f t="shared" ref="X35:AD35" si="13">COUNTIF(X10:X34,"D")+COUNTIF(X10:X34,"D1")+COUNTIF(X10:X34,"DN")+COUNTIF(X10:X34,"TN")*0.5+COUNTIF(X10:X34,"NM")*0.5+COUNTIF(X10:X34,"D2")</f>
        <v>4</v>
      </c>
      <c r="Y35" s="34">
        <f t="shared" si="13"/>
        <v>5</v>
      </c>
      <c r="Z35" s="34">
        <f t="shared" si="13"/>
        <v>4</v>
      </c>
      <c r="AA35" s="34">
        <f t="shared" si="13"/>
        <v>4</v>
      </c>
      <c r="AB35" s="34">
        <f t="shared" si="13"/>
        <v>4</v>
      </c>
      <c r="AC35" s="34">
        <f t="shared" si="13"/>
        <v>4</v>
      </c>
      <c r="AD35" s="34">
        <f t="shared" si="13"/>
        <v>4</v>
      </c>
      <c r="AE35" s="342"/>
      <c r="AF35" s="34">
        <f t="shared" ref="AF35:AL35" si="14">COUNTIF(AF10:AF34,"D")+COUNTIF(AF10:AF34,"D1")+COUNTIF(AF10:AF34,"DN")+COUNTIF(AF10:AF34,"TN")*0.5+COUNTIF(AF10:AF34,"NM")*0.5+COUNTIF(AF10:AF34,"D2")</f>
        <v>4</v>
      </c>
      <c r="AG35" s="34">
        <f t="shared" si="14"/>
        <v>4</v>
      </c>
      <c r="AH35" s="34">
        <f t="shared" si="14"/>
        <v>4</v>
      </c>
      <c r="AI35" s="34">
        <f t="shared" si="14"/>
        <v>4</v>
      </c>
      <c r="AJ35" s="34">
        <f t="shared" si="14"/>
        <v>4</v>
      </c>
      <c r="AK35" s="34">
        <f t="shared" si="14"/>
        <v>3</v>
      </c>
      <c r="AL35" s="34">
        <f t="shared" si="14"/>
        <v>5</v>
      </c>
      <c r="AM35" s="342"/>
      <c r="AN35" s="35">
        <f t="shared" ref="AN35:AT35" si="15">COUNTIF(AN10:AN25,"D")+COUNTIF(AN10:AN25,"D1")+COUNTIF(AN10:AN25,"DN")+COUNTIF(AN10:AN25,"DN")+COUNTIF(AN10:AN25,"TN")*0.5+COUNTIF(AN10:AN25,"NM")*0.5+COUNTIF(AN10:AN25,"DE")+COUNTIF(AN10:AN25,"D2")</f>
        <v>0</v>
      </c>
      <c r="AO35" s="36">
        <f t="shared" si="15"/>
        <v>0</v>
      </c>
      <c r="AP35" s="36">
        <f t="shared" si="15"/>
        <v>0</v>
      </c>
      <c r="AQ35" s="36">
        <f t="shared" si="15"/>
        <v>0</v>
      </c>
      <c r="AR35" s="36">
        <f t="shared" si="15"/>
        <v>0</v>
      </c>
      <c r="AS35" s="36">
        <f t="shared" si="15"/>
        <v>0</v>
      </c>
      <c r="AT35" s="36">
        <f t="shared" si="15"/>
        <v>0</v>
      </c>
      <c r="AU35" s="343"/>
      <c r="AV3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35,"D")+COUNTIF(I35,"D1")+COUNTIF(I35,"N")+COUNTIF(I35,"N1")+COUNTIF(I35,"Din")+COUNTIF(I35,"D1in")+COUNTIF(I35,"Nin")+COUNTIF(I35,"N1in")+COUNTIF(I35,"DN")+COUNTIF(I35,"TN")+COUNTIF(I35,"NM")+COUNTIF(I35,"DA")+COUNTIF(I35,"DA")+COUNTIF(M35,"D")+COUNTIF(M35,"D1")+COUNTIF(M35,"N")+COUNTIF(M35,"N1")+COUNTIF(M35,"Din")+COUNTIF(M35,"D1in")+COUNTIF(M35,"Nin")+COUNTIF(M35,"N1in")+COUNTIF(M35,"DN")+COUNTIF(M35,"TN")+COUNTIF(M35,"NM")+COUNTIF(M35,"DA")+COUNTIF(M35,"DA")+COUNTIF(U35,"D")+COUNTIF(U35,"D1")+COUNTIF(U35,"N")+COUNTIF(U35,"N1")+COUNTIF(U35,"Din")+COUNTIF(U35,"D1in")+COUNTIF(U35,"Nin")+COUNTIF(U35,"N1in")+COUNTIF(U35,"DN")+COUNTIF(U35,"TN")+COUNTIF(U35,"NM")+COUNTIF(U35,"DA")+COUNTIF(U35,"DA")+COUNTIF(AS35,"D")+COUNTIF(AS35,"D1")+COUNTIF(AS35,"N")+COUNTIF(AS35,"N1")+COUNTIF(AS35,"Din")+COUNTIF(AS35,"D1in")+COUNTIF(AS35,"Nin")+COUNTIF(AS35,"N1in")+COUNTIF(AS35,"DN")+COUNTIF(AS35,"TN")+COUNTIF(AS35,"NM")+COUNTIF(AS35,"DA")+COUNTIF(AS35,"DA")</f>
        <v>#REF!</v>
      </c>
      <c r="AW35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35,"D")+COUNTIF(J35,"D1")+COUNTIF(J35,"N")+COUNTIF(J35,"N1")+COUNTIF(J35,"Din")+COUNTIF(J35,"D1in")+COUNTIF(J35,"Nin")+COUNTIF(J35,"N1in")+COUNTIF(J35,"DN")+COUNTIF(J35,"TN")+COUNTIF(J35,"NM")+COUNTIF(J35,"DA")+COUNTIF(J35,"DA")+COUNTIF(N35,"D")+COUNTIF(N35,"D1")+COUNTIF(N35,"N")+COUNTIF(N35,"N1")+COUNTIF(N35,"Din")+COUNTIF(N35,"D1in")+COUNTIF(N35,"Nin")+COUNTIF(N35,"N1in")+COUNTIF(N35,"DN")+COUNTIF(N35,"TN")+COUNTIF(N35,"NM")+COUNTIF(N35,"DA")+COUNTIF(N35,"DA")+COUNTIF(V35,"D")+COUNTIF(V35,"D1")+COUNTIF(V35,"N")+COUNTIF(V35,"N1")+COUNTIF(V35,"Din")+COUNTIF(V35,"D1in")+COUNTIF(V35,"Nin")+COUNTIF(V35,"N1in")+COUNTIF(V35,"DN")+COUNTIF(V35,"TN")+COUNTIF(V35,"NM")+COUNTIF(V35,"DA")+COUNTIF(V35,"DA")+COUNTIF(AT35,"D")+COUNTIF(AT35,"D1")+COUNTIF(AT35,"N")+COUNTIF(AT35,"N1")+COUNTIF(AT35,"Din")+COUNTIF(AT35,"D1in")+COUNTIF(AT35,"Nin")+COUNTIF(AT35,"N1in")+COUNTIF(AT35,"DN")+COUNTIF(AT35,"TN")+COUNTIF(AT35,"NM")+COUNTIF(AT35,"DA")+COUNTIF(AT35,"DA")</f>
        <v>#REF!</v>
      </c>
      <c r="AX35" s="34">
        <f t="shared" ref="AX35:BD35" si="16">COUNTIF(AX10:AX34,"D")+COUNTIF(AX10:AX34,"D1")+COUNTIF(AX10:AX34,"DN")+COUNTIF(AX10:AX34,"TN")*0.5+COUNTIF(AX10:AX34,"NM")*0.5+COUNTIF(AX10:AX34,"D2")</f>
        <v>4</v>
      </c>
      <c r="AY35" s="34">
        <f t="shared" si="16"/>
        <v>5</v>
      </c>
      <c r="AZ35" s="34">
        <f t="shared" si="16"/>
        <v>5</v>
      </c>
      <c r="BA35" s="34">
        <f t="shared" si="16"/>
        <v>4</v>
      </c>
      <c r="BB35" s="34">
        <f t="shared" si="16"/>
        <v>4</v>
      </c>
      <c r="BC35" s="34">
        <f t="shared" si="16"/>
        <v>4</v>
      </c>
      <c r="BD35" s="182">
        <f t="shared" si="16"/>
        <v>5</v>
      </c>
      <c r="BE35" s="343"/>
    </row>
    <row r="36" spans="1:57" ht="20.25" customHeight="1" x14ac:dyDescent="0.25">
      <c r="A36" s="348" t="s">
        <v>57</v>
      </c>
      <c r="B36" s="292"/>
      <c r="C36" s="294"/>
      <c r="D36" s="34">
        <f t="shared" ref="D36:J36" si="17">COUNTIF(D10:D34,"M8")</f>
        <v>1</v>
      </c>
      <c r="E36" s="34">
        <f t="shared" si="17"/>
        <v>1</v>
      </c>
      <c r="F36" s="34">
        <f t="shared" si="17"/>
        <v>1</v>
      </c>
      <c r="G36" s="34">
        <f t="shared" si="17"/>
        <v>1</v>
      </c>
      <c r="H36" s="34">
        <f t="shared" si="17"/>
        <v>1</v>
      </c>
      <c r="I36" s="34">
        <f t="shared" si="17"/>
        <v>1</v>
      </c>
      <c r="J36" s="34">
        <f t="shared" si="17"/>
        <v>0</v>
      </c>
      <c r="K36" s="340"/>
      <c r="L36" s="34">
        <f t="shared" ref="L36:N36" si="18">COUNTIF(L10:L34,"M8")</f>
        <v>1</v>
      </c>
      <c r="M36" s="34">
        <f t="shared" si="18"/>
        <v>1</v>
      </c>
      <c r="N36" s="34">
        <f t="shared" si="18"/>
        <v>0</v>
      </c>
      <c r="O36" s="340"/>
      <c r="P36" s="34">
        <f t="shared" ref="P36:V36" si="19">COUNTIF(P10:P34,"M8")</f>
        <v>1</v>
      </c>
      <c r="Q36" s="34">
        <f t="shared" si="19"/>
        <v>1</v>
      </c>
      <c r="R36" s="34">
        <f t="shared" si="19"/>
        <v>1</v>
      </c>
      <c r="S36" s="34">
        <f t="shared" si="19"/>
        <v>1</v>
      </c>
      <c r="T36" s="34">
        <f t="shared" si="19"/>
        <v>1</v>
      </c>
      <c r="U36" s="34">
        <f t="shared" si="19"/>
        <v>1</v>
      </c>
      <c r="V36" s="34">
        <f t="shared" si="19"/>
        <v>1</v>
      </c>
      <c r="W36" s="340"/>
      <c r="X36" s="34">
        <f t="shared" ref="X36:AD36" si="20">COUNTIF(X10:X34,"M8")</f>
        <v>1</v>
      </c>
      <c r="Y36" s="34">
        <f t="shared" si="20"/>
        <v>1</v>
      </c>
      <c r="Z36" s="34">
        <f t="shared" si="20"/>
        <v>1</v>
      </c>
      <c r="AA36" s="34">
        <f t="shared" si="20"/>
        <v>1</v>
      </c>
      <c r="AB36" s="34">
        <f t="shared" si="20"/>
        <v>1</v>
      </c>
      <c r="AC36" s="34">
        <f t="shared" si="20"/>
        <v>1</v>
      </c>
      <c r="AD36" s="34">
        <f t="shared" si="20"/>
        <v>1</v>
      </c>
      <c r="AE36" s="340"/>
      <c r="AF36" s="34">
        <f t="shared" ref="AF36:AL36" si="21">COUNTIF(AF10:AF34,"M8")</f>
        <v>1</v>
      </c>
      <c r="AG36" s="34">
        <f t="shared" si="21"/>
        <v>1</v>
      </c>
      <c r="AH36" s="34">
        <f t="shared" si="21"/>
        <v>1</v>
      </c>
      <c r="AI36" s="34">
        <f t="shared" si="21"/>
        <v>1</v>
      </c>
      <c r="AJ36" s="34">
        <f t="shared" si="21"/>
        <v>1</v>
      </c>
      <c r="AK36" s="34">
        <f t="shared" si="21"/>
        <v>1</v>
      </c>
      <c r="AL36" s="34">
        <f t="shared" si="21"/>
        <v>0</v>
      </c>
      <c r="AM36" s="340"/>
      <c r="AN36" s="37"/>
      <c r="AO36" s="38"/>
      <c r="AP36" s="38"/>
      <c r="AQ36" s="38"/>
      <c r="AR36" s="38"/>
      <c r="AS36" s="38"/>
      <c r="AT36" s="38"/>
      <c r="AU36" s="279"/>
      <c r="AV36" s="10"/>
      <c r="AW36" s="10"/>
      <c r="AX36" s="34">
        <f t="shared" ref="AX36:BD36" si="22">COUNTIF(AX10:AX34,"M8")</f>
        <v>1</v>
      </c>
      <c r="AY36" s="34">
        <f t="shared" si="22"/>
        <v>1</v>
      </c>
      <c r="AZ36" s="34">
        <f t="shared" si="22"/>
        <v>1</v>
      </c>
      <c r="BA36" s="34">
        <f t="shared" si="22"/>
        <v>1</v>
      </c>
      <c r="BB36" s="183">
        <f t="shared" si="22"/>
        <v>1</v>
      </c>
      <c r="BC36" s="34">
        <f t="shared" si="22"/>
        <v>1</v>
      </c>
      <c r="BD36" s="34">
        <f t="shared" si="22"/>
        <v>1</v>
      </c>
      <c r="BE36" s="279"/>
    </row>
    <row r="37" spans="1:57" ht="20.25" customHeight="1" x14ac:dyDescent="0.25">
      <c r="A37" s="348" t="s">
        <v>58</v>
      </c>
      <c r="B37" s="292"/>
      <c r="C37" s="294"/>
      <c r="D37" s="34">
        <f t="shared" ref="D37:J37" si="23">COUNTIF(D10:D34,"T8")</f>
        <v>0</v>
      </c>
      <c r="E37" s="34">
        <f t="shared" si="23"/>
        <v>1</v>
      </c>
      <c r="F37" s="34">
        <f t="shared" si="23"/>
        <v>1</v>
      </c>
      <c r="G37" s="34">
        <f t="shared" si="23"/>
        <v>1</v>
      </c>
      <c r="H37" s="34">
        <f t="shared" si="23"/>
        <v>1</v>
      </c>
      <c r="I37" s="34">
        <f t="shared" si="23"/>
        <v>1</v>
      </c>
      <c r="J37" s="34">
        <f t="shared" si="23"/>
        <v>0</v>
      </c>
      <c r="K37" s="340"/>
      <c r="L37" s="34">
        <f t="shared" ref="L37:N37" si="24">COUNTIF(L10:L34,"T8")</f>
        <v>1</v>
      </c>
      <c r="M37" s="34">
        <f t="shared" si="24"/>
        <v>0</v>
      </c>
      <c r="N37" s="34">
        <f t="shared" si="24"/>
        <v>0</v>
      </c>
      <c r="O37" s="340"/>
      <c r="P37" s="34">
        <f t="shared" ref="P37:V37" si="25">COUNTIF(P10:P34,"T8")</f>
        <v>1</v>
      </c>
      <c r="Q37" s="34">
        <f t="shared" si="25"/>
        <v>1</v>
      </c>
      <c r="R37" s="34">
        <f t="shared" si="25"/>
        <v>1</v>
      </c>
      <c r="S37" s="34">
        <f t="shared" si="25"/>
        <v>1</v>
      </c>
      <c r="T37" s="34">
        <f t="shared" si="25"/>
        <v>1</v>
      </c>
      <c r="U37" s="34">
        <f t="shared" si="25"/>
        <v>1</v>
      </c>
      <c r="V37" s="34">
        <f t="shared" si="25"/>
        <v>1</v>
      </c>
      <c r="W37" s="340"/>
      <c r="X37" s="34">
        <f t="shared" ref="X37:AD37" si="26">COUNTIF(X10:X34,"T8")</f>
        <v>1</v>
      </c>
      <c r="Y37" s="34">
        <f t="shared" si="26"/>
        <v>1</v>
      </c>
      <c r="Z37" s="34">
        <f t="shared" si="26"/>
        <v>1</v>
      </c>
      <c r="AA37" s="34">
        <f t="shared" si="26"/>
        <v>1</v>
      </c>
      <c r="AB37" s="34">
        <f t="shared" si="26"/>
        <v>1</v>
      </c>
      <c r="AC37" s="34">
        <f t="shared" si="26"/>
        <v>1</v>
      </c>
      <c r="AD37" s="34">
        <f t="shared" si="26"/>
        <v>1</v>
      </c>
      <c r="AE37" s="340"/>
      <c r="AF37" s="34">
        <f t="shared" ref="AF37:AL37" si="27">COUNTIF(AF10:AF34,"T8")</f>
        <v>1</v>
      </c>
      <c r="AG37" s="34">
        <f t="shared" si="27"/>
        <v>1</v>
      </c>
      <c r="AH37" s="34">
        <f t="shared" si="27"/>
        <v>1</v>
      </c>
      <c r="AI37" s="34">
        <f t="shared" si="27"/>
        <v>1</v>
      </c>
      <c r="AJ37" s="34">
        <f t="shared" si="27"/>
        <v>1</v>
      </c>
      <c r="AK37" s="34">
        <f t="shared" si="27"/>
        <v>1</v>
      </c>
      <c r="AL37" s="34">
        <f t="shared" si="27"/>
        <v>0</v>
      </c>
      <c r="AM37" s="340"/>
      <c r="AN37" s="37"/>
      <c r="AO37" s="38"/>
      <c r="AP37" s="38"/>
      <c r="AQ37" s="38"/>
      <c r="AR37" s="38"/>
      <c r="AS37" s="38"/>
      <c r="AT37" s="38"/>
      <c r="AU37" s="279"/>
      <c r="AV37" s="10"/>
      <c r="AW37" s="10"/>
      <c r="AX37" s="34">
        <f t="shared" ref="AX37:BD37" si="28">COUNTIF(AX10:AX34,"T8")</f>
        <v>1</v>
      </c>
      <c r="AY37" s="34">
        <f t="shared" si="28"/>
        <v>1</v>
      </c>
      <c r="AZ37" s="34">
        <f t="shared" si="28"/>
        <v>0</v>
      </c>
      <c r="BA37" s="34">
        <f t="shared" si="28"/>
        <v>1</v>
      </c>
      <c r="BB37" s="34">
        <f t="shared" si="28"/>
        <v>1</v>
      </c>
      <c r="BC37" s="34">
        <f t="shared" si="28"/>
        <v>1</v>
      </c>
      <c r="BD37" s="34">
        <f t="shared" si="28"/>
        <v>0</v>
      </c>
      <c r="BE37" s="279"/>
    </row>
    <row r="38" spans="1:57" ht="20.25" customHeight="1" x14ac:dyDescent="0.25">
      <c r="A38" s="348" t="s">
        <v>59</v>
      </c>
      <c r="B38" s="292"/>
      <c r="C38" s="294"/>
      <c r="D38" s="8">
        <f t="shared" ref="D38:J38" si="29">COUNTIF(D10:D34,"N")+COUNTIF(D10:D34,"N1")+COUNTIF(D10:D34,"N8")</f>
        <v>5</v>
      </c>
      <c r="E38" s="7">
        <f t="shared" si="29"/>
        <v>4</v>
      </c>
      <c r="F38" s="8">
        <f t="shared" si="29"/>
        <v>5</v>
      </c>
      <c r="G38" s="7">
        <f t="shared" si="29"/>
        <v>5</v>
      </c>
      <c r="H38" s="8">
        <f t="shared" si="29"/>
        <v>4</v>
      </c>
      <c r="I38" s="8">
        <f t="shared" si="29"/>
        <v>4</v>
      </c>
      <c r="J38" s="8">
        <f t="shared" si="29"/>
        <v>4</v>
      </c>
      <c r="K38" s="340"/>
      <c r="L38" s="8">
        <f t="shared" ref="L38:N38" si="30">COUNTIF(L10:L34,"N")+COUNTIF(L10:L34,"N1")+COUNTIF(L10:L34,"N8")</f>
        <v>5</v>
      </c>
      <c r="M38" s="8">
        <f t="shared" si="30"/>
        <v>4</v>
      </c>
      <c r="N38" s="8">
        <f t="shared" si="30"/>
        <v>4</v>
      </c>
      <c r="O38" s="340"/>
      <c r="P38" s="8">
        <f t="shared" ref="P38:V38" si="31">COUNTIF(P10:P34,"N")+COUNTIF(P10:P34,"N1")+COUNTIF(P10:P34,"N8")</f>
        <v>4</v>
      </c>
      <c r="Q38" s="7">
        <f t="shared" si="31"/>
        <v>5</v>
      </c>
      <c r="R38" s="8">
        <f t="shared" si="31"/>
        <v>4</v>
      </c>
      <c r="S38" s="7">
        <f t="shared" si="31"/>
        <v>4</v>
      </c>
      <c r="T38" s="8">
        <f t="shared" si="31"/>
        <v>5</v>
      </c>
      <c r="U38" s="8">
        <f t="shared" si="31"/>
        <v>5</v>
      </c>
      <c r="V38" s="8">
        <f t="shared" si="31"/>
        <v>5</v>
      </c>
      <c r="W38" s="340"/>
      <c r="X38" s="8">
        <f t="shared" ref="X38:AD38" si="32">COUNTIF(X10:X34,"N")+COUNTIF(X10:X34,"N1")+COUNTIF(X10:X34,"N8")</f>
        <v>5</v>
      </c>
      <c r="Y38" s="8">
        <f t="shared" si="32"/>
        <v>4</v>
      </c>
      <c r="Z38" s="8">
        <f t="shared" si="32"/>
        <v>5</v>
      </c>
      <c r="AA38" s="8">
        <f t="shared" si="32"/>
        <v>3</v>
      </c>
      <c r="AB38" s="8">
        <f t="shared" si="32"/>
        <v>4</v>
      </c>
      <c r="AC38" s="8">
        <f t="shared" si="32"/>
        <v>5</v>
      </c>
      <c r="AD38" s="8">
        <f t="shared" si="32"/>
        <v>5</v>
      </c>
      <c r="AE38" s="340"/>
      <c r="AF38" s="8">
        <f t="shared" ref="AF38:AL38" si="33">COUNTIF(AF10:AF34,"N")+COUNTIF(AF10:AF34,"N1")+COUNTIF(AF10:AF34,"N8")</f>
        <v>4</v>
      </c>
      <c r="AG38" s="8">
        <f t="shared" si="33"/>
        <v>5</v>
      </c>
      <c r="AH38" s="8">
        <f t="shared" si="33"/>
        <v>4</v>
      </c>
      <c r="AI38" s="8">
        <f t="shared" si="33"/>
        <v>4</v>
      </c>
      <c r="AJ38" s="8">
        <f t="shared" si="33"/>
        <v>4</v>
      </c>
      <c r="AK38" s="8">
        <f t="shared" si="33"/>
        <v>4</v>
      </c>
      <c r="AL38" s="8">
        <f t="shared" si="33"/>
        <v>5</v>
      </c>
      <c r="AM38" s="340"/>
      <c r="AN38" s="39">
        <f t="shared" ref="AN38:AT38" si="34">COUNTIF(AN10:AN25,"N")+COUNTIF(AN10:AN25,"N1")+COUNTIF(AN10:AN25,"DN")+COUNTIF(AN10:AN25,"TN")+COUNTIF(AN10:AN25,"NM")</f>
        <v>0</v>
      </c>
      <c r="AO38" s="40">
        <f t="shared" si="34"/>
        <v>0</v>
      </c>
      <c r="AP38" s="40">
        <f t="shared" si="34"/>
        <v>0</v>
      </c>
      <c r="AQ38" s="40">
        <f t="shared" si="34"/>
        <v>0</v>
      </c>
      <c r="AR38" s="40">
        <f t="shared" si="34"/>
        <v>0</v>
      </c>
      <c r="AS38" s="40">
        <f t="shared" si="34"/>
        <v>0</v>
      </c>
      <c r="AT38" s="40">
        <f t="shared" si="34"/>
        <v>0</v>
      </c>
      <c r="AU38" s="280"/>
      <c r="AV38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I38,"D")+COUNTIF(I38,"D1")+COUNTIF(I38,"N")+COUNTIF(I38,"N1")+COUNTIF(I38,"Din")+COUNTIF(I38,"D1in")+COUNTIF(I38,"Nin")+COUNTIF(I38,"N1in")+COUNTIF(I38,"DN")+COUNTIF(I38,"TN")+COUNTIF(I38,"NM")+COUNTIF(I38,"DA")+COUNTIF(I38,"DA")+COUNTIF(M38,"D")+COUNTIF(M38,"D1")+COUNTIF(M38,"N")+COUNTIF(M38,"N1")+COUNTIF(M38,"Din")+COUNTIF(M38,"D1in")+COUNTIF(M38,"Nin")+COUNTIF(M38,"N1in")+COUNTIF(M38,"DN")+COUNTIF(M38,"TN")+COUNTIF(M38,"NM")+COUNTIF(M38,"DA")+COUNTIF(M38,"DA")+COUNTIF(U38,"D")+COUNTIF(U38,"D1")+COUNTIF(U38,"N")+COUNTIF(U38,"N1")+COUNTIF(U38,"Din")+COUNTIF(U38,"D1in")+COUNTIF(U38,"Nin")+COUNTIF(U38,"N1in")+COUNTIF(U38,"DN")+COUNTIF(U38,"TN")+COUNTIF(U38,"NM")+COUNTIF(U38,"DA")+COUNTIF(U38,"DA")+COUNTIF(AS38,"D")+COUNTIF(AS38,"D1")+COUNTIF(AS38,"N")+COUNTIF(AS38,"N1")+COUNTIF(AS38,"Din")+COUNTIF(AS38,"D1in")+COUNTIF(AS38,"Nin")+COUNTIF(AS38,"N1in")+COUNTIF(AS38,"DN")+COUNTIF(AS38,"TN")+COUNTIF(AS38,"NM")+COUNTIF(AS38,"DA")+COUNTIF(AS38,"DA")</f>
        <v>#REF!</v>
      </c>
      <c r="AW38" s="10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J38,"D")+COUNTIF(J38,"D1")+COUNTIF(J38,"N")+COUNTIF(J38,"N1")+COUNTIF(J38,"Din")+COUNTIF(J38,"D1in")+COUNTIF(J38,"Nin")+COUNTIF(J38,"N1in")+COUNTIF(J38,"DN")+COUNTIF(J38,"TN")+COUNTIF(J38,"NM")+COUNTIF(J38,"DA")+COUNTIF(J38,"DA")+COUNTIF(N38,"D")+COUNTIF(N38,"D1")+COUNTIF(N38,"N")+COUNTIF(N38,"N1")+COUNTIF(N38,"Din")+COUNTIF(N38,"D1in")+COUNTIF(N38,"Nin")+COUNTIF(N38,"N1in")+COUNTIF(N38,"DN")+COUNTIF(N38,"TN")+COUNTIF(N38,"NM")+COUNTIF(N38,"DA")+COUNTIF(N38,"DA")+COUNTIF(V38,"D")+COUNTIF(V38,"D1")+COUNTIF(V38,"N")+COUNTIF(V38,"N1")+COUNTIF(V38,"Din")+COUNTIF(V38,"D1in")+COUNTIF(V38,"Nin")+COUNTIF(V38,"N1in")+COUNTIF(V38,"DN")+COUNTIF(V38,"TN")+COUNTIF(V38,"NM")+COUNTIF(V38,"DA")+COUNTIF(V38,"DA")+COUNTIF(AT38,"D")+COUNTIF(AT38,"D1")+COUNTIF(AT38,"N")+COUNTIF(AT38,"N1")+COUNTIF(AT38,"Din")+COUNTIF(AT38,"D1in")+COUNTIF(AT38,"Nin")+COUNTIF(AT38,"N1in")+COUNTIF(AT38,"DN")+COUNTIF(AT38,"TN")+COUNTIF(AT38,"NM")+COUNTIF(AT38,"DA")+COUNTIF(AT38,"DA")</f>
        <v>#REF!</v>
      </c>
      <c r="AX38" s="8">
        <f t="shared" ref="AX38:BD38" si="35">COUNTIF(AX10:AX34,"N")+COUNTIF(AX10:AX34,"N1")+COUNTIF(AX10:AX34,"N8")</f>
        <v>5</v>
      </c>
      <c r="AY38" s="8">
        <f t="shared" si="35"/>
        <v>5</v>
      </c>
      <c r="AZ38" s="8">
        <f t="shared" si="35"/>
        <v>5</v>
      </c>
      <c r="BA38" s="8">
        <f t="shared" si="35"/>
        <v>5</v>
      </c>
      <c r="BB38" s="8">
        <f t="shared" si="35"/>
        <v>5</v>
      </c>
      <c r="BC38" s="8">
        <f t="shared" si="35"/>
        <v>5</v>
      </c>
      <c r="BD38" s="8">
        <f t="shared" si="35"/>
        <v>5</v>
      </c>
      <c r="BE38" s="280"/>
    </row>
    <row r="39" spans="1:57" ht="20.25" customHeight="1" x14ac:dyDescent="0.25">
      <c r="A39" s="348" t="s">
        <v>60</v>
      </c>
      <c r="B39" s="292"/>
      <c r="C39" s="294"/>
      <c r="D39" s="41">
        <f t="shared" ref="D39:J39" si="36">COUNTIF(D10:D35,"N8")</f>
        <v>1</v>
      </c>
      <c r="E39" s="41">
        <f t="shared" si="36"/>
        <v>1</v>
      </c>
      <c r="F39" s="41">
        <f t="shared" si="36"/>
        <v>1</v>
      </c>
      <c r="G39" s="41">
        <f t="shared" si="36"/>
        <v>0</v>
      </c>
      <c r="H39" s="41">
        <f t="shared" si="36"/>
        <v>1</v>
      </c>
      <c r="I39" s="41">
        <f t="shared" si="36"/>
        <v>1</v>
      </c>
      <c r="J39" s="41">
        <f t="shared" si="36"/>
        <v>0</v>
      </c>
      <c r="K39" s="341"/>
      <c r="L39" s="41">
        <f t="shared" ref="L39:N39" si="37">COUNTIF(L10:L35,"N8")</f>
        <v>1</v>
      </c>
      <c r="M39" s="41">
        <f t="shared" si="37"/>
        <v>0</v>
      </c>
      <c r="N39" s="41">
        <f t="shared" si="37"/>
        <v>0</v>
      </c>
      <c r="O39" s="341"/>
      <c r="P39" s="41">
        <f t="shared" ref="P39:V39" si="38">COUNTIF(P10:P35,"N8")</f>
        <v>0</v>
      </c>
      <c r="Q39" s="41">
        <f t="shared" si="38"/>
        <v>1</v>
      </c>
      <c r="R39" s="41">
        <f t="shared" si="38"/>
        <v>1</v>
      </c>
      <c r="S39" s="41">
        <f t="shared" si="38"/>
        <v>0</v>
      </c>
      <c r="T39" s="41">
        <f t="shared" si="38"/>
        <v>1</v>
      </c>
      <c r="U39" s="41">
        <f t="shared" si="38"/>
        <v>1</v>
      </c>
      <c r="V39" s="41">
        <f t="shared" si="38"/>
        <v>1</v>
      </c>
      <c r="W39" s="341"/>
      <c r="X39" s="8">
        <f t="shared" ref="X39:AD39" si="39">COUNTIF(X10:X35,"N8")</f>
        <v>1</v>
      </c>
      <c r="Y39" s="8">
        <f t="shared" si="39"/>
        <v>1</v>
      </c>
      <c r="Z39" s="8">
        <f t="shared" si="39"/>
        <v>1</v>
      </c>
      <c r="AA39" s="8">
        <f t="shared" si="39"/>
        <v>0</v>
      </c>
      <c r="AB39" s="8">
        <f t="shared" si="39"/>
        <v>0</v>
      </c>
      <c r="AC39" s="8">
        <f t="shared" si="39"/>
        <v>1</v>
      </c>
      <c r="AD39" s="8">
        <f t="shared" si="39"/>
        <v>1</v>
      </c>
      <c r="AE39" s="341"/>
      <c r="AF39" s="8">
        <f t="shared" ref="AF39:AL39" si="40">COUNTIF(AF10:AF35,"N8")</f>
        <v>0</v>
      </c>
      <c r="AG39" s="8">
        <f t="shared" si="40"/>
        <v>1</v>
      </c>
      <c r="AH39" s="8">
        <f t="shared" si="40"/>
        <v>1</v>
      </c>
      <c r="AI39" s="8">
        <f t="shared" si="40"/>
        <v>1</v>
      </c>
      <c r="AJ39" s="8">
        <f t="shared" si="40"/>
        <v>1</v>
      </c>
      <c r="AK39" s="8">
        <f t="shared" si="40"/>
        <v>1</v>
      </c>
      <c r="AL39" s="8">
        <f t="shared" si="40"/>
        <v>1</v>
      </c>
      <c r="AM39" s="341"/>
      <c r="AN39" s="41"/>
      <c r="AO39" s="41"/>
      <c r="AP39" s="41"/>
      <c r="AQ39" s="41"/>
      <c r="AR39" s="41"/>
      <c r="AS39" s="41"/>
      <c r="AT39" s="41"/>
      <c r="AU39" s="41"/>
      <c r="AV39" s="10"/>
      <c r="AW39" s="10"/>
      <c r="AX39" s="8">
        <f t="shared" ref="AX39:BD39" si="41">COUNTIF(AX10:AX35,"N8")</f>
        <v>1</v>
      </c>
      <c r="AY39" s="8">
        <f t="shared" si="41"/>
        <v>1</v>
      </c>
      <c r="AZ39" s="8">
        <f t="shared" si="41"/>
        <v>1</v>
      </c>
      <c r="BA39" s="8">
        <f t="shared" si="41"/>
        <v>1</v>
      </c>
      <c r="BB39" s="8">
        <f t="shared" si="41"/>
        <v>1</v>
      </c>
      <c r="BC39" s="8">
        <f t="shared" si="41"/>
        <v>1</v>
      </c>
      <c r="BD39" s="8">
        <f t="shared" si="41"/>
        <v>1</v>
      </c>
      <c r="BE39" s="9"/>
    </row>
    <row r="40" spans="1:57" ht="20.25" customHeight="1" x14ac:dyDescent="0.25">
      <c r="A40" s="42"/>
      <c r="B40" s="43"/>
      <c r="C40" s="43"/>
      <c r="D40" s="44"/>
      <c r="E40" s="44"/>
      <c r="F40" s="44"/>
      <c r="G40" s="44"/>
      <c r="H40" s="44"/>
      <c r="I40" s="44"/>
      <c r="J40" s="44"/>
      <c r="K40" s="43"/>
      <c r="L40" s="44"/>
      <c r="M40" s="44"/>
      <c r="N40" s="44"/>
      <c r="O40" s="43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6"/>
      <c r="AB40" s="46"/>
      <c r="AC40" s="46"/>
      <c r="AD40" s="46"/>
      <c r="AE40" s="43"/>
      <c r="AF40" s="46"/>
      <c r="AG40" s="46"/>
      <c r="AH40" s="46"/>
      <c r="AI40" s="46"/>
      <c r="AJ40" s="46"/>
      <c r="AK40" s="46"/>
      <c r="AL40" s="46"/>
      <c r="AM40" s="43"/>
      <c r="AN40" s="44"/>
      <c r="AO40" s="44"/>
      <c r="AP40" s="44"/>
      <c r="AQ40" s="44"/>
      <c r="AR40" s="44"/>
      <c r="AS40" s="44"/>
      <c r="AT40" s="44"/>
      <c r="AU40" s="44"/>
      <c r="AV40" s="47"/>
      <c r="AW40" s="47"/>
      <c r="AX40" s="46"/>
      <c r="AY40" s="46"/>
      <c r="AZ40" s="46"/>
      <c r="BA40" s="46"/>
      <c r="BB40" s="46"/>
      <c r="BC40" s="46"/>
      <c r="BD40" s="46"/>
      <c r="BE40" s="48"/>
    </row>
    <row r="41" spans="1:57" ht="20.25" customHeight="1" thickBo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9"/>
      <c r="AP41" s="49"/>
      <c r="AQ41" s="49"/>
      <c r="AR41" s="49"/>
      <c r="AS41" s="49"/>
      <c r="AT41" s="49"/>
      <c r="AU41" s="49"/>
      <c r="AV41" s="45"/>
      <c r="AW41" s="45"/>
      <c r="AX41" s="45"/>
      <c r="AY41" s="45"/>
      <c r="AZ41" s="45"/>
      <c r="BA41" s="45"/>
      <c r="BB41" s="45"/>
      <c r="BC41" s="45"/>
      <c r="BD41" s="45"/>
      <c r="BE41" s="45"/>
    </row>
    <row r="42" spans="1:57" ht="12.75" customHeight="1" thickBot="1" x14ac:dyDescent="0.3">
      <c r="A42" s="372" t="s">
        <v>61</v>
      </c>
      <c r="B42" s="373"/>
      <c r="C42" s="374"/>
      <c r="D42" s="45"/>
      <c r="E42" s="45"/>
      <c r="F42" s="45"/>
      <c r="G42" s="45"/>
      <c r="H42" s="45"/>
      <c r="I42" s="45"/>
      <c r="J42" s="45"/>
      <c r="K42" s="45"/>
      <c r="L42" s="45"/>
      <c r="M42" s="45"/>
      <c r="AZ42" s="45"/>
      <c r="BA42" s="45"/>
      <c r="BB42" s="45"/>
      <c r="BC42" s="45"/>
      <c r="BD42" s="45"/>
      <c r="BE42" s="45"/>
    </row>
    <row r="43" spans="1:57" ht="12.75" customHeight="1" x14ac:dyDescent="0.25">
      <c r="A43" s="327" t="s">
        <v>62</v>
      </c>
      <c r="B43" s="328"/>
      <c r="C43" s="329"/>
      <c r="D43" s="45"/>
      <c r="E43" s="45"/>
      <c r="F43" s="45"/>
      <c r="G43" s="45"/>
      <c r="H43" s="45"/>
      <c r="I43" s="45"/>
      <c r="J43" s="45"/>
      <c r="K43" s="45"/>
      <c r="L43" s="45"/>
      <c r="M43" s="45"/>
      <c r="AZ43" s="52"/>
      <c r="BA43" s="52"/>
      <c r="BB43" s="52"/>
      <c r="BC43" s="52"/>
      <c r="BD43" s="52"/>
      <c r="BE43" s="52"/>
    </row>
    <row r="44" spans="1:57" ht="15.75" customHeight="1" x14ac:dyDescent="0.25">
      <c r="A44" s="2"/>
      <c r="B44" s="371" t="s">
        <v>63</v>
      </c>
      <c r="C44" s="320"/>
      <c r="D44" s="45"/>
      <c r="E44" s="45"/>
      <c r="F44" s="45"/>
      <c r="G44" s="45"/>
      <c r="H44" s="45"/>
      <c r="I44" s="45"/>
      <c r="J44" s="45"/>
      <c r="K44" s="45"/>
      <c r="L44" s="45"/>
      <c r="M44" s="45"/>
      <c r="AZ44" s="52"/>
      <c r="BA44" s="52"/>
      <c r="BB44" s="52"/>
      <c r="BC44" s="52"/>
      <c r="BD44" s="52"/>
      <c r="BE44" s="52"/>
    </row>
    <row r="45" spans="1:57" ht="12.75" customHeight="1" x14ac:dyDescent="0.25">
      <c r="A45" s="53" t="s">
        <v>23</v>
      </c>
      <c r="B45" s="324" t="s">
        <v>64</v>
      </c>
      <c r="C45" s="320"/>
      <c r="D45" s="45"/>
      <c r="E45" s="45"/>
      <c r="F45" s="45"/>
      <c r="G45" s="45"/>
      <c r="H45" s="45"/>
      <c r="I45" s="45"/>
      <c r="J45" s="45"/>
      <c r="K45" s="45"/>
      <c r="L45" s="45"/>
      <c r="M45" s="45"/>
      <c r="AZ45" s="55"/>
      <c r="BA45" s="55"/>
      <c r="BB45" s="55"/>
      <c r="BC45" s="55"/>
      <c r="BD45" s="55"/>
      <c r="BE45" s="52"/>
    </row>
    <row r="46" spans="1:57" ht="12.75" customHeight="1" x14ac:dyDescent="0.25">
      <c r="A46" s="53" t="s">
        <v>26</v>
      </c>
      <c r="B46" s="324" t="s">
        <v>65</v>
      </c>
      <c r="C46" s="320"/>
      <c r="D46" s="45"/>
      <c r="E46" s="45"/>
      <c r="F46" s="45"/>
      <c r="G46" s="45"/>
      <c r="H46" s="45"/>
      <c r="I46" s="45"/>
      <c r="J46" s="45"/>
      <c r="K46" s="45"/>
      <c r="L46" s="45"/>
      <c r="M46" s="45"/>
      <c r="AZ46" s="52"/>
      <c r="BA46" s="52"/>
      <c r="BB46" s="52"/>
      <c r="BC46" s="52"/>
      <c r="BD46" s="52"/>
      <c r="BE46" s="52"/>
    </row>
    <row r="47" spans="1:57" ht="14.25" customHeight="1" x14ac:dyDescent="0.25">
      <c r="A47" s="53" t="s">
        <v>29</v>
      </c>
      <c r="B47" s="324" t="s">
        <v>66</v>
      </c>
      <c r="C47" s="320"/>
      <c r="D47" s="45"/>
      <c r="E47" s="45"/>
      <c r="F47" s="45"/>
      <c r="G47" s="45"/>
      <c r="H47" s="45"/>
      <c r="I47" s="45"/>
      <c r="J47" s="45"/>
      <c r="K47" s="45"/>
      <c r="L47" s="45"/>
      <c r="M47" s="45"/>
      <c r="AZ47" s="52"/>
      <c r="BA47" s="52"/>
      <c r="BB47" s="52"/>
      <c r="BC47" s="52"/>
      <c r="BD47" s="52"/>
      <c r="BE47" s="52"/>
    </row>
    <row r="48" spans="1:57" ht="19.5" customHeight="1" x14ac:dyDescent="0.25">
      <c r="A48" s="53" t="s">
        <v>27</v>
      </c>
      <c r="B48" s="371" t="s">
        <v>67</v>
      </c>
      <c r="C48" s="320"/>
      <c r="D48" s="45"/>
      <c r="E48" s="45"/>
      <c r="F48" s="45"/>
      <c r="G48" s="45"/>
      <c r="H48" s="45"/>
      <c r="I48" s="45"/>
      <c r="J48" s="45"/>
      <c r="K48" s="45"/>
      <c r="L48" s="45"/>
      <c r="M48" s="45"/>
      <c r="AZ48" s="45"/>
      <c r="BA48" s="45"/>
      <c r="BB48" s="45"/>
      <c r="BC48" s="49"/>
      <c r="BD48" s="49"/>
      <c r="BE48" s="45"/>
    </row>
    <row r="49" spans="1:58" ht="15" customHeight="1" x14ac:dyDescent="0.25">
      <c r="A49" s="57" t="s">
        <v>25</v>
      </c>
      <c r="B49" s="375" t="s">
        <v>68</v>
      </c>
      <c r="C49" s="376"/>
      <c r="D49" s="45"/>
      <c r="E49" s="45"/>
      <c r="F49" s="45"/>
      <c r="G49" s="45"/>
      <c r="H49" s="45"/>
      <c r="I49" s="45"/>
      <c r="J49" s="45"/>
      <c r="K49" s="45"/>
      <c r="L49" s="45"/>
      <c r="M49" s="45"/>
      <c r="AZ49" s="45"/>
      <c r="BA49" s="45"/>
      <c r="BB49" s="45"/>
      <c r="BC49" s="49"/>
      <c r="BD49" s="49"/>
      <c r="BE49" s="45"/>
    </row>
    <row r="50" spans="1:58" ht="15" customHeight="1" x14ac:dyDescent="0.25">
      <c r="A50" s="58" t="s">
        <v>69</v>
      </c>
      <c r="B50" s="371" t="s">
        <v>70</v>
      </c>
      <c r="C50" s="294"/>
      <c r="D50" s="45"/>
      <c r="E50" s="45"/>
      <c r="F50" s="45"/>
      <c r="G50" s="45"/>
      <c r="H50" s="45"/>
      <c r="I50" s="45"/>
      <c r="J50" s="45"/>
      <c r="K50" s="45"/>
      <c r="L50" s="45"/>
      <c r="M50" s="45"/>
      <c r="AZ50" s="45"/>
      <c r="BA50" s="45"/>
      <c r="BB50" s="45"/>
      <c r="BC50" s="49"/>
      <c r="BD50" s="49"/>
      <c r="BE50" s="45"/>
    </row>
    <row r="51" spans="1:58" ht="15" customHeight="1" x14ac:dyDescent="0.25">
      <c r="A51" s="58" t="s">
        <v>71</v>
      </c>
      <c r="B51" s="371" t="s">
        <v>72</v>
      </c>
      <c r="C51" s="294"/>
      <c r="D51" s="45"/>
      <c r="E51" s="45"/>
      <c r="F51" s="45"/>
      <c r="G51" s="45"/>
      <c r="H51" s="45"/>
      <c r="I51" s="45"/>
      <c r="J51" s="45"/>
      <c r="K51" s="45"/>
      <c r="L51" s="45"/>
      <c r="M51" s="45"/>
      <c r="AZ51" s="45"/>
      <c r="BA51" s="45"/>
      <c r="BB51" s="45"/>
      <c r="BC51" s="49"/>
      <c r="BD51" s="49"/>
      <c r="BE51" s="45"/>
    </row>
    <row r="52" spans="1:58" ht="12.75" customHeight="1" x14ac:dyDescent="0.25">
      <c r="A52" s="60" t="s">
        <v>73</v>
      </c>
      <c r="B52" s="369" t="s">
        <v>74</v>
      </c>
      <c r="C52" s="370"/>
      <c r="D52" s="45"/>
      <c r="E52" s="45"/>
      <c r="F52" s="45"/>
      <c r="G52" s="45"/>
      <c r="H52" s="45"/>
      <c r="I52" s="45"/>
      <c r="J52" s="45"/>
      <c r="K52" s="45"/>
      <c r="L52" s="45"/>
      <c r="M52" s="45"/>
      <c r="AZ52" s="45"/>
      <c r="BA52" s="45"/>
      <c r="BB52" s="45"/>
      <c r="BC52" s="49"/>
      <c r="BD52" s="49"/>
      <c r="BE52" s="45"/>
    </row>
    <row r="53" spans="1:58" ht="14.25" customHeight="1" x14ac:dyDescent="0.25">
      <c r="A53" s="53" t="s">
        <v>75</v>
      </c>
      <c r="B53" s="324" t="s">
        <v>76</v>
      </c>
      <c r="C53" s="320"/>
      <c r="D53" s="45"/>
      <c r="E53" s="45"/>
      <c r="F53" s="45"/>
      <c r="G53" s="45"/>
      <c r="H53" s="45"/>
      <c r="I53" s="45"/>
      <c r="J53" s="45"/>
      <c r="K53" s="45"/>
      <c r="L53" s="45"/>
      <c r="M53" s="45"/>
      <c r="AZ53" s="45"/>
      <c r="BA53" s="45"/>
      <c r="BB53" s="45"/>
      <c r="BC53" s="49"/>
      <c r="BD53" s="49"/>
      <c r="BE53" s="45"/>
    </row>
    <row r="54" spans="1:58" ht="36.75" customHeight="1" x14ac:dyDescent="0.25">
      <c r="A54" s="53" t="s">
        <v>19</v>
      </c>
      <c r="B54" s="371" t="s">
        <v>77</v>
      </c>
      <c r="C54" s="320"/>
      <c r="D54" s="45"/>
      <c r="E54" s="45"/>
      <c r="F54" s="45"/>
      <c r="G54" s="45"/>
      <c r="H54" s="45"/>
      <c r="I54" s="45"/>
      <c r="J54" s="45"/>
      <c r="K54" s="45"/>
      <c r="L54" s="45"/>
      <c r="M54" s="45"/>
      <c r="AZ54" s="45"/>
      <c r="BA54" s="45"/>
      <c r="BB54" s="45"/>
      <c r="BC54" s="49"/>
      <c r="BD54" s="49"/>
      <c r="BE54" s="45"/>
    </row>
    <row r="55" spans="1:58" ht="26.25" customHeight="1" x14ac:dyDescent="0.25">
      <c r="A55" s="53" t="s">
        <v>78</v>
      </c>
      <c r="B55" s="371" t="s">
        <v>79</v>
      </c>
      <c r="C55" s="320"/>
      <c r="D55" s="45"/>
      <c r="E55" s="45"/>
      <c r="F55" s="45"/>
      <c r="G55" s="45"/>
      <c r="H55" s="45"/>
      <c r="I55" s="45"/>
      <c r="J55" s="45"/>
      <c r="K55" s="45"/>
      <c r="L55" s="61"/>
      <c r="M55" s="61"/>
      <c r="AZ55" s="45"/>
      <c r="BA55" s="45"/>
      <c r="BB55" s="45"/>
      <c r="BC55" s="45"/>
      <c r="BD55" s="45"/>
      <c r="BE55" s="45"/>
    </row>
    <row r="56" spans="1:58" ht="14.25" customHeight="1" x14ac:dyDescent="0.25">
      <c r="A56" s="53" t="s">
        <v>18</v>
      </c>
      <c r="B56" s="324" t="s">
        <v>80</v>
      </c>
      <c r="C56" s="320"/>
      <c r="D56" s="45"/>
      <c r="E56" s="45"/>
      <c r="F56" s="45"/>
      <c r="G56" s="45"/>
      <c r="H56" s="45"/>
      <c r="I56" s="45"/>
      <c r="J56" s="45"/>
      <c r="K56" s="45"/>
      <c r="L56" s="50"/>
      <c r="M56" s="50"/>
      <c r="AZ56" s="50"/>
      <c r="BA56" s="45"/>
      <c r="BB56" s="45"/>
      <c r="BC56" s="45"/>
      <c r="BD56" s="45"/>
      <c r="BE56" s="45"/>
    </row>
    <row r="57" spans="1:58" ht="14.25" customHeight="1" x14ac:dyDescent="0.25">
      <c r="A57" s="53" t="s">
        <v>21</v>
      </c>
      <c r="B57" s="324" t="s">
        <v>81</v>
      </c>
      <c r="C57" s="320"/>
      <c r="D57" s="45"/>
      <c r="E57" s="45"/>
      <c r="F57" s="45"/>
      <c r="G57" s="45"/>
      <c r="H57" s="45"/>
      <c r="I57" s="45"/>
      <c r="J57" s="45"/>
      <c r="K57" s="45"/>
      <c r="L57" s="50"/>
      <c r="M57" s="50"/>
      <c r="AZ57" s="45"/>
      <c r="BA57" s="45"/>
      <c r="BB57" s="45"/>
      <c r="BC57" s="45"/>
      <c r="BD57" s="45"/>
      <c r="BE57" s="45"/>
    </row>
    <row r="58" spans="1:58" ht="14.25" customHeight="1" x14ac:dyDescent="0.25">
      <c r="A58" s="53" t="s">
        <v>36</v>
      </c>
      <c r="B58" s="324" t="s">
        <v>82</v>
      </c>
      <c r="C58" s="320"/>
      <c r="D58" s="45"/>
      <c r="E58" s="45"/>
      <c r="F58" s="45"/>
      <c r="G58" s="45"/>
      <c r="H58" s="45"/>
      <c r="I58" s="45"/>
      <c r="J58" s="45"/>
      <c r="K58" s="45"/>
      <c r="L58" s="61"/>
      <c r="M58" s="61"/>
      <c r="AZ58" s="45"/>
      <c r="BA58" s="45"/>
      <c r="BB58" s="45"/>
      <c r="BC58" s="45"/>
      <c r="BD58" s="45"/>
      <c r="BE58" s="45"/>
    </row>
    <row r="59" spans="1:58" ht="14.25" customHeight="1" x14ac:dyDescent="0.25">
      <c r="A59" s="53" t="s">
        <v>41</v>
      </c>
      <c r="B59" s="324" t="s">
        <v>83</v>
      </c>
      <c r="C59" s="320"/>
      <c r="D59" s="45"/>
      <c r="E59" s="45"/>
      <c r="F59" s="45"/>
      <c r="G59" s="45"/>
      <c r="H59" s="45"/>
      <c r="I59" s="45"/>
      <c r="J59" s="45"/>
      <c r="K59" s="45"/>
      <c r="L59" s="45"/>
      <c r="M59" s="45"/>
      <c r="AZ59" s="45"/>
      <c r="BA59" s="45"/>
      <c r="BB59" s="45"/>
      <c r="BC59" s="45"/>
      <c r="BD59" s="45"/>
      <c r="BE59" s="45"/>
    </row>
    <row r="60" spans="1:58" ht="14.25" customHeight="1" x14ac:dyDescent="0.25">
      <c r="A60" s="53" t="s">
        <v>84</v>
      </c>
      <c r="B60" s="324" t="s">
        <v>85</v>
      </c>
      <c r="C60" s="320"/>
      <c r="D60" s="45"/>
      <c r="E60" s="45"/>
      <c r="F60" s="45"/>
      <c r="G60" s="45"/>
      <c r="H60" s="45"/>
      <c r="I60" s="45"/>
      <c r="J60" s="45"/>
      <c r="K60" s="45"/>
      <c r="L60" s="45"/>
      <c r="M60" s="45"/>
      <c r="AZ60" s="46"/>
      <c r="BA60" s="46"/>
      <c r="BB60" s="46"/>
      <c r="BC60" s="46"/>
      <c r="BD60" s="46"/>
      <c r="BE60" s="50"/>
    </row>
    <row r="61" spans="1:58" ht="14.25" customHeight="1" x14ac:dyDescent="0.25">
      <c r="A61" s="53" t="s">
        <v>46</v>
      </c>
      <c r="B61" s="324" t="s">
        <v>86</v>
      </c>
      <c r="C61" s="320"/>
      <c r="D61" s="45"/>
      <c r="E61" s="45"/>
      <c r="F61" s="45"/>
      <c r="G61" s="45"/>
      <c r="H61" s="45"/>
      <c r="I61" s="45"/>
      <c r="J61" s="45"/>
      <c r="K61" s="45"/>
      <c r="L61" s="45"/>
      <c r="M61" s="45"/>
      <c r="AZ61" s="45"/>
      <c r="BA61" s="45"/>
      <c r="BB61" s="45"/>
      <c r="BC61" s="45"/>
      <c r="BD61" s="45"/>
      <c r="BE61" s="45"/>
    </row>
    <row r="62" spans="1:58" ht="14.25" customHeight="1" x14ac:dyDescent="0.25">
      <c r="A62" s="53" t="s">
        <v>87</v>
      </c>
      <c r="B62" s="324" t="s">
        <v>88</v>
      </c>
      <c r="C62" s="320"/>
      <c r="D62" s="45"/>
      <c r="E62" s="45"/>
      <c r="F62" s="45"/>
      <c r="G62" s="45"/>
      <c r="H62" s="45"/>
      <c r="I62" s="45"/>
      <c r="J62" s="45"/>
      <c r="K62" s="45"/>
      <c r="L62" s="45"/>
      <c r="M62" s="45"/>
      <c r="AZ62" s="45"/>
      <c r="BA62" s="45"/>
      <c r="BB62" s="45"/>
      <c r="BC62" s="45"/>
      <c r="BD62" s="45"/>
      <c r="BE62" s="45"/>
    </row>
    <row r="63" spans="1:58" ht="14.25" customHeight="1" x14ac:dyDescent="0.25">
      <c r="A63" s="53" t="s">
        <v>89</v>
      </c>
      <c r="B63" s="324" t="s">
        <v>90</v>
      </c>
      <c r="C63" s="320"/>
      <c r="D63" s="45"/>
      <c r="E63" s="45"/>
      <c r="F63" s="45"/>
      <c r="G63" s="45"/>
      <c r="H63" s="45"/>
      <c r="I63" s="45"/>
      <c r="J63" s="45"/>
      <c r="K63" s="45"/>
      <c r="L63" s="45"/>
      <c r="M63" s="45"/>
      <c r="AZ63" s="45"/>
      <c r="BA63" s="45"/>
      <c r="BB63" s="45"/>
      <c r="BC63" s="45"/>
      <c r="BD63" s="45"/>
      <c r="BE63" s="45"/>
    </row>
    <row r="64" spans="1:58" ht="12.75" customHeight="1" thickBot="1" x14ac:dyDescent="0.3">
      <c r="A64" s="65" t="s">
        <v>48</v>
      </c>
      <c r="B64" s="321" t="s">
        <v>91</v>
      </c>
      <c r="C64" s="322"/>
      <c r="D64" s="45"/>
      <c r="E64" s="45"/>
      <c r="F64" s="45"/>
      <c r="G64" s="45"/>
      <c r="H64" s="45"/>
      <c r="I64" s="45"/>
      <c r="J64" s="45"/>
      <c r="K64" s="45"/>
      <c r="L64" s="45"/>
      <c r="M64" s="45"/>
      <c r="AZ64" s="46"/>
      <c r="BA64" s="46"/>
      <c r="BB64" s="46"/>
      <c r="BC64" s="46"/>
      <c r="BD64" s="46"/>
      <c r="BE64" s="46"/>
      <c r="BF64" s="63"/>
    </row>
    <row r="65" spans="1:57" ht="12.75" customHeight="1" x14ac:dyDescent="0.25">
      <c r="A65" s="66" t="s">
        <v>92</v>
      </c>
      <c r="B65" s="318" t="s">
        <v>93</v>
      </c>
      <c r="C65" s="294"/>
      <c r="D65" s="49"/>
      <c r="E65" s="49"/>
      <c r="F65" s="49"/>
      <c r="G65" s="49"/>
      <c r="H65" s="49"/>
      <c r="I65" s="49"/>
      <c r="J65" s="49"/>
      <c r="K65" s="49"/>
      <c r="L65" s="49"/>
      <c r="M65" s="49"/>
      <c r="AZ65" s="49"/>
      <c r="BA65" s="49"/>
      <c r="BB65" s="49"/>
      <c r="BC65" s="49"/>
      <c r="BD65" s="49"/>
      <c r="BE65" s="49"/>
    </row>
    <row r="66" spans="1:57" ht="12.75" customHeight="1" x14ac:dyDescent="0.25">
      <c r="A66" s="66" t="s">
        <v>94</v>
      </c>
      <c r="B66" s="318" t="s">
        <v>95</v>
      </c>
      <c r="C66" s="294"/>
      <c r="D66" s="49"/>
      <c r="E66" s="49"/>
      <c r="F66" s="49"/>
      <c r="G66" s="49"/>
      <c r="H66" s="49"/>
      <c r="I66" s="49"/>
      <c r="J66" s="49"/>
      <c r="K66" s="49"/>
      <c r="L66" s="49"/>
      <c r="M66" s="49"/>
      <c r="AZ66" s="49"/>
      <c r="BA66" s="49"/>
      <c r="BB66" s="49"/>
      <c r="BC66" s="49"/>
      <c r="BD66" s="49"/>
      <c r="BE66" s="49"/>
    </row>
    <row r="67" spans="1:57" ht="12.75" customHeight="1" x14ac:dyDescent="0.25">
      <c r="A67" s="66" t="s">
        <v>96</v>
      </c>
      <c r="B67" s="318" t="s">
        <v>97</v>
      </c>
      <c r="C67" s="294"/>
      <c r="D67" s="49"/>
      <c r="E67" s="49"/>
      <c r="F67" s="49"/>
      <c r="G67" s="49"/>
      <c r="H67" s="49"/>
      <c r="I67" s="49"/>
      <c r="J67" s="49"/>
      <c r="K67" s="49"/>
      <c r="L67" s="49"/>
      <c r="M67" s="49"/>
      <c r="AZ67" s="49"/>
      <c r="BA67" s="49"/>
      <c r="BB67" s="49"/>
      <c r="BC67" s="49"/>
      <c r="BD67" s="49"/>
      <c r="BE67" s="49"/>
    </row>
    <row r="68" spans="1:57" ht="12.75" customHeight="1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AZ68" s="49"/>
      <c r="BA68" s="49"/>
      <c r="BB68" s="49"/>
      <c r="BC68" s="49"/>
      <c r="BD68" s="49"/>
      <c r="BE68" s="49"/>
    </row>
    <row r="69" spans="1:57" ht="12.75" customHeight="1" x14ac:dyDescent="0.25">
      <c r="A69" s="364"/>
      <c r="B69" s="360"/>
      <c r="C69" s="67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AZ69" s="49"/>
      <c r="BA69" s="49"/>
      <c r="BB69" s="49"/>
      <c r="BC69" s="49"/>
      <c r="BD69" s="49"/>
      <c r="BE69" s="49"/>
    </row>
    <row r="70" spans="1:57" ht="12.75" customHeight="1" x14ac:dyDescent="0.25">
      <c r="A70" s="365"/>
      <c r="B70" s="366"/>
      <c r="C70" s="185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AZ70" s="49"/>
      <c r="BA70" s="49"/>
      <c r="BB70" s="49"/>
      <c r="BC70" s="49"/>
      <c r="BD70" s="49"/>
      <c r="BE70" s="49"/>
    </row>
    <row r="71" spans="1:57" ht="12.75" customHeight="1" x14ac:dyDescent="0.25">
      <c r="A71" s="361"/>
      <c r="B71" s="362"/>
      <c r="C71" s="187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AZ71" s="49"/>
      <c r="BA71" s="49"/>
      <c r="BB71" s="49"/>
      <c r="BC71" s="49"/>
      <c r="BD71" s="49"/>
      <c r="BE71" s="49"/>
    </row>
    <row r="72" spans="1:57" ht="12.75" customHeight="1" x14ac:dyDescent="0.25">
      <c r="A72" s="367"/>
      <c r="B72" s="277"/>
      <c r="C72" s="355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276"/>
      <c r="AP72" s="276"/>
      <c r="AQ72" s="276"/>
      <c r="AR72" s="276"/>
      <c r="AS72" s="276"/>
      <c r="AT72" s="276"/>
      <c r="AU72" s="277"/>
      <c r="AV72" s="49"/>
      <c r="AW72" s="49"/>
      <c r="AX72" s="49"/>
      <c r="AY72" s="49"/>
      <c r="AZ72" s="49"/>
      <c r="BA72" s="49"/>
      <c r="BB72" s="49"/>
      <c r="BC72" s="49"/>
      <c r="BD72" s="49"/>
      <c r="BE72" s="49"/>
    </row>
    <row r="73" spans="1:57" ht="12.75" customHeight="1" x14ac:dyDescent="0.25">
      <c r="A73" s="368"/>
      <c r="B73" s="277"/>
      <c r="C73" s="355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276"/>
      <c r="AP73" s="276"/>
      <c r="AQ73" s="276"/>
      <c r="AR73" s="276"/>
      <c r="AS73" s="276"/>
      <c r="AT73" s="276"/>
      <c r="AU73" s="277"/>
      <c r="AV73" s="49"/>
      <c r="AW73" s="49"/>
      <c r="AX73" s="49"/>
      <c r="AY73" s="49"/>
      <c r="AZ73" s="49"/>
      <c r="BA73" s="49"/>
      <c r="BB73" s="49"/>
      <c r="BC73" s="49"/>
      <c r="BD73" s="49"/>
      <c r="BE73" s="49"/>
    </row>
    <row r="74" spans="1:57" ht="12.75" customHeight="1" x14ac:dyDescent="0.25">
      <c r="A74" s="368"/>
      <c r="B74" s="277"/>
      <c r="C74" s="35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276"/>
      <c r="AP74" s="276"/>
      <c r="AQ74" s="276"/>
      <c r="AR74" s="276"/>
      <c r="AS74" s="276"/>
      <c r="AT74" s="276"/>
      <c r="AU74" s="277"/>
      <c r="AV74" s="49"/>
      <c r="AW74" s="49"/>
      <c r="AX74" s="49"/>
      <c r="AY74" s="49"/>
      <c r="AZ74" s="49"/>
      <c r="BA74" s="49"/>
      <c r="BB74" s="49"/>
      <c r="BC74" s="49"/>
      <c r="BD74" s="49"/>
      <c r="BE74" s="49"/>
    </row>
    <row r="75" spans="1:57" ht="12.75" customHeight="1" x14ac:dyDescent="0.25">
      <c r="A75" s="357"/>
      <c r="B75" s="357"/>
      <c r="C75" s="357"/>
      <c r="D75" s="354"/>
      <c r="E75" s="276"/>
      <c r="F75" s="276"/>
      <c r="G75" s="276"/>
      <c r="H75" s="276"/>
      <c r="I75" s="276"/>
      <c r="J75" s="277"/>
      <c r="K75" s="357"/>
      <c r="L75" s="276"/>
      <c r="M75" s="276"/>
      <c r="N75" s="277"/>
      <c r="O75" s="357"/>
      <c r="P75" s="354"/>
      <c r="Q75" s="276"/>
      <c r="R75" s="276"/>
      <c r="S75" s="276"/>
      <c r="T75" s="276"/>
      <c r="U75" s="276"/>
      <c r="V75" s="277"/>
      <c r="W75" s="357"/>
      <c r="X75" s="354"/>
      <c r="Y75" s="276"/>
      <c r="Z75" s="276"/>
      <c r="AA75" s="276"/>
      <c r="AB75" s="276"/>
      <c r="AC75" s="276"/>
      <c r="AD75" s="277"/>
      <c r="AE75" s="357"/>
      <c r="AF75" s="354"/>
      <c r="AG75" s="276"/>
      <c r="AH75" s="276"/>
      <c r="AI75" s="276"/>
      <c r="AJ75" s="276"/>
      <c r="AK75" s="276"/>
      <c r="AL75" s="277"/>
      <c r="AM75" s="357"/>
      <c r="AN75" s="354"/>
      <c r="AO75" s="276"/>
      <c r="AP75" s="276"/>
      <c r="AQ75" s="276"/>
      <c r="AR75" s="276"/>
      <c r="AS75" s="276"/>
      <c r="AT75" s="277"/>
      <c r="AU75" s="357"/>
      <c r="AV75" s="49"/>
      <c r="AW75" s="49"/>
      <c r="AX75" s="49"/>
      <c r="AY75" s="49"/>
      <c r="AZ75" s="49"/>
      <c r="BA75" s="49"/>
      <c r="BB75" s="49"/>
      <c r="BC75" s="49"/>
      <c r="BD75" s="49"/>
      <c r="BE75" s="49"/>
    </row>
    <row r="76" spans="1:57" ht="12.75" customHeight="1" x14ac:dyDescent="0.25">
      <c r="A76" s="340"/>
      <c r="B76" s="340"/>
      <c r="C76" s="340"/>
      <c r="D76" s="68"/>
      <c r="E76" s="68"/>
      <c r="F76" s="68"/>
      <c r="G76" s="68"/>
      <c r="H76" s="68"/>
      <c r="I76" s="68"/>
      <c r="J76" s="68"/>
      <c r="K76" s="340"/>
      <c r="L76" s="68"/>
      <c r="M76" s="68"/>
      <c r="N76" s="68"/>
      <c r="O76" s="340"/>
      <c r="P76" s="68"/>
      <c r="Q76" s="68"/>
      <c r="R76" s="68"/>
      <c r="S76" s="68"/>
      <c r="T76" s="68"/>
      <c r="U76" s="68"/>
      <c r="V76" s="68"/>
      <c r="W76" s="340"/>
      <c r="X76" s="68"/>
      <c r="Y76" s="68"/>
      <c r="Z76" s="68"/>
      <c r="AA76" s="68"/>
      <c r="AB76" s="68"/>
      <c r="AC76" s="68"/>
      <c r="AD76" s="68"/>
      <c r="AE76" s="340"/>
      <c r="AF76" s="68"/>
      <c r="AG76" s="68"/>
      <c r="AH76" s="68"/>
      <c r="AI76" s="68"/>
      <c r="AJ76" s="68"/>
      <c r="AK76" s="68"/>
      <c r="AL76" s="68"/>
      <c r="AM76" s="340"/>
      <c r="AN76" s="68"/>
      <c r="AO76" s="68"/>
      <c r="AP76" s="68"/>
      <c r="AQ76" s="68"/>
      <c r="AR76" s="68"/>
      <c r="AS76" s="68"/>
      <c r="AT76" s="68"/>
      <c r="AU76" s="340"/>
      <c r="AV76" s="49"/>
      <c r="AW76" s="49"/>
      <c r="AX76" s="49"/>
      <c r="AY76" s="49"/>
      <c r="AZ76" s="49"/>
      <c r="BA76" s="49"/>
      <c r="BB76" s="49"/>
      <c r="BC76" s="49"/>
      <c r="BD76" s="49"/>
      <c r="BE76" s="49"/>
    </row>
    <row r="77" spans="1:57" ht="12.75" customHeight="1" x14ac:dyDescent="0.25">
      <c r="A77" s="352"/>
      <c r="B77" s="352"/>
      <c r="C77" s="352"/>
      <c r="D77" s="68"/>
      <c r="E77" s="68"/>
      <c r="F77" s="68"/>
      <c r="G77" s="68"/>
      <c r="H77" s="68"/>
      <c r="I77" s="68"/>
      <c r="J77" s="68"/>
      <c r="K77" s="352"/>
      <c r="L77" s="68"/>
      <c r="M77" s="68"/>
      <c r="N77" s="68"/>
      <c r="O77" s="352"/>
      <c r="P77" s="68"/>
      <c r="Q77" s="68"/>
      <c r="R77" s="68"/>
      <c r="S77" s="68"/>
      <c r="T77" s="68"/>
      <c r="U77" s="68"/>
      <c r="V77" s="68"/>
      <c r="W77" s="352"/>
      <c r="X77" s="68"/>
      <c r="Y77" s="68"/>
      <c r="Z77" s="68"/>
      <c r="AA77" s="68"/>
      <c r="AB77" s="68"/>
      <c r="AC77" s="68"/>
      <c r="AD77" s="68"/>
      <c r="AE77" s="352"/>
      <c r="AF77" s="68"/>
      <c r="AG77" s="68"/>
      <c r="AH77" s="68"/>
      <c r="AI77" s="68"/>
      <c r="AJ77" s="68"/>
      <c r="AK77" s="68"/>
      <c r="AL77" s="68"/>
      <c r="AM77" s="352"/>
      <c r="AN77" s="68"/>
      <c r="AO77" s="68"/>
      <c r="AP77" s="68"/>
      <c r="AQ77" s="68"/>
      <c r="AR77" s="68"/>
      <c r="AS77" s="68"/>
      <c r="AT77" s="68"/>
      <c r="AU77" s="352"/>
      <c r="AV77" s="49"/>
      <c r="AW77" s="49"/>
      <c r="AX77" s="49"/>
      <c r="AY77" s="49"/>
      <c r="AZ77" s="49"/>
      <c r="BA77" s="49"/>
      <c r="BB77" s="49"/>
      <c r="BC77" s="49"/>
      <c r="BD77" s="49"/>
      <c r="BE77" s="49"/>
    </row>
    <row r="78" spans="1:57" ht="12.75" customHeight="1" x14ac:dyDescent="0.25">
      <c r="A78" s="69"/>
      <c r="B78" s="70"/>
      <c r="C78" s="71"/>
      <c r="D78" s="64"/>
      <c r="E78" s="64"/>
      <c r="F78" s="64"/>
      <c r="G78" s="64"/>
      <c r="H78" s="64"/>
      <c r="I78" s="64"/>
      <c r="J78" s="64"/>
      <c r="K78" s="72"/>
      <c r="L78" s="64"/>
      <c r="M78" s="64"/>
      <c r="N78" s="64"/>
      <c r="O78" s="72"/>
      <c r="P78" s="64"/>
      <c r="Q78" s="64"/>
      <c r="R78" s="64"/>
      <c r="S78" s="64"/>
      <c r="T78" s="64"/>
      <c r="U78" s="64"/>
      <c r="V78" s="64"/>
      <c r="W78" s="72"/>
      <c r="X78" s="64"/>
      <c r="Y78" s="64"/>
      <c r="Z78" s="64"/>
      <c r="AA78" s="64"/>
      <c r="AB78" s="64"/>
      <c r="AC78" s="64"/>
      <c r="AD78" s="64"/>
      <c r="AE78" s="72"/>
      <c r="AF78" s="64"/>
      <c r="AG78" s="64"/>
      <c r="AH78" s="64"/>
      <c r="AI78" s="64"/>
      <c r="AJ78" s="64"/>
      <c r="AK78" s="64"/>
      <c r="AL78" s="64"/>
      <c r="AM78" s="72"/>
      <c r="AN78" s="61"/>
      <c r="AO78" s="61"/>
      <c r="AP78" s="61"/>
      <c r="AQ78" s="61"/>
      <c r="AR78" s="61"/>
      <c r="AS78" s="61"/>
      <c r="AT78" s="61"/>
      <c r="AU78" s="62"/>
      <c r="AV78" s="49"/>
      <c r="AW78" s="49"/>
      <c r="AX78" s="49"/>
      <c r="AY78" s="49"/>
      <c r="AZ78" s="49"/>
      <c r="BA78" s="49"/>
      <c r="BB78" s="49"/>
      <c r="BC78" s="49"/>
      <c r="BD78" s="49"/>
      <c r="BE78" s="49"/>
    </row>
    <row r="79" spans="1:57" ht="12.75" customHeight="1" x14ac:dyDescent="0.25">
      <c r="A79" s="69"/>
      <c r="B79" s="71"/>
      <c r="C79" s="71"/>
      <c r="D79" s="64"/>
      <c r="E79" s="64"/>
      <c r="F79" s="64"/>
      <c r="G79" s="64"/>
      <c r="H79" s="64"/>
      <c r="I79" s="64"/>
      <c r="J79" s="64"/>
      <c r="K79" s="72"/>
      <c r="L79" s="64"/>
      <c r="M79" s="64"/>
      <c r="N79" s="64"/>
      <c r="O79" s="72"/>
      <c r="P79" s="64"/>
      <c r="Q79" s="64"/>
      <c r="R79" s="64"/>
      <c r="S79" s="64"/>
      <c r="T79" s="64"/>
      <c r="U79" s="64"/>
      <c r="V79" s="64"/>
      <c r="W79" s="72"/>
      <c r="X79" s="64"/>
      <c r="Y79" s="64"/>
      <c r="Z79" s="64"/>
      <c r="AA79" s="64"/>
      <c r="AB79" s="64"/>
      <c r="AC79" s="64"/>
      <c r="AD79" s="64"/>
      <c r="AE79" s="72"/>
      <c r="AF79" s="64"/>
      <c r="AG79" s="64"/>
      <c r="AH79" s="64"/>
      <c r="AI79" s="64"/>
      <c r="AJ79" s="64"/>
      <c r="AK79" s="64"/>
      <c r="AL79" s="64"/>
      <c r="AM79" s="72"/>
      <c r="AN79" s="61"/>
      <c r="AO79" s="61"/>
      <c r="AP79" s="61"/>
      <c r="AQ79" s="61"/>
      <c r="AR79" s="61"/>
      <c r="AS79" s="61"/>
      <c r="AT79" s="56"/>
      <c r="AU79" s="62"/>
      <c r="AV79" s="49"/>
      <c r="AW79" s="49"/>
      <c r="AX79" s="49"/>
      <c r="AY79" s="49"/>
      <c r="AZ79" s="49"/>
      <c r="BA79" s="49"/>
      <c r="BB79" s="49"/>
      <c r="BC79" s="49"/>
      <c r="BD79" s="49"/>
      <c r="BE79" s="49"/>
    </row>
    <row r="80" spans="1:57" ht="12.75" customHeight="1" x14ac:dyDescent="0.25">
      <c r="A80" s="69"/>
      <c r="B80" s="71"/>
      <c r="C80" s="71"/>
      <c r="D80" s="64"/>
      <c r="E80" s="64"/>
      <c r="F80" s="64"/>
      <c r="G80" s="64"/>
      <c r="H80" s="64"/>
      <c r="I80" s="64"/>
      <c r="J80" s="64"/>
      <c r="K80" s="72"/>
      <c r="L80" s="64"/>
      <c r="M80" s="64"/>
      <c r="N80" s="64"/>
      <c r="O80" s="72"/>
      <c r="P80" s="64"/>
      <c r="Q80" s="64"/>
      <c r="R80" s="64"/>
      <c r="S80" s="64"/>
      <c r="T80" s="64"/>
      <c r="U80" s="64"/>
      <c r="V80" s="64"/>
      <c r="W80" s="72"/>
      <c r="X80" s="64"/>
      <c r="Y80" s="64"/>
      <c r="Z80" s="64"/>
      <c r="AA80" s="64"/>
      <c r="AB80" s="64"/>
      <c r="AC80" s="64"/>
      <c r="AD80" s="64"/>
      <c r="AE80" s="72"/>
      <c r="AF80" s="64"/>
      <c r="AG80" s="64"/>
      <c r="AH80" s="64"/>
      <c r="AI80" s="64"/>
      <c r="AJ80" s="64"/>
      <c r="AK80" s="64"/>
      <c r="AL80" s="64"/>
      <c r="AM80" s="72"/>
      <c r="AN80" s="64"/>
      <c r="AO80" s="64"/>
      <c r="AP80" s="64"/>
      <c r="AQ80" s="64"/>
      <c r="AR80" s="64"/>
      <c r="AS80" s="64"/>
      <c r="AT80" s="73"/>
      <c r="AU80" s="72"/>
      <c r="AV80" s="49"/>
      <c r="AW80" s="49"/>
      <c r="AX80" s="49"/>
      <c r="AY80" s="49"/>
      <c r="AZ80" s="49"/>
      <c r="BA80" s="49"/>
      <c r="BB80" s="49"/>
      <c r="BC80" s="49"/>
      <c r="BD80" s="49"/>
      <c r="BE80" s="49"/>
    </row>
    <row r="81" spans="1:57" ht="12.75" customHeight="1" x14ac:dyDescent="0.25">
      <c r="A81" s="69"/>
      <c r="B81" s="74"/>
      <c r="C81" s="71"/>
      <c r="D81" s="64"/>
      <c r="E81" s="64"/>
      <c r="F81" s="64"/>
      <c r="G81" s="64"/>
      <c r="H81" s="64"/>
      <c r="I81" s="64"/>
      <c r="J81" s="64"/>
      <c r="K81" s="72"/>
      <c r="L81" s="64"/>
      <c r="M81" s="64"/>
      <c r="N81" s="64"/>
      <c r="O81" s="72"/>
      <c r="P81" s="64"/>
      <c r="Q81" s="64"/>
      <c r="R81" s="64"/>
      <c r="S81" s="64"/>
      <c r="T81" s="64"/>
      <c r="U81" s="64"/>
      <c r="V81" s="64"/>
      <c r="W81" s="72"/>
      <c r="X81" s="64"/>
      <c r="Y81" s="64"/>
      <c r="Z81" s="64"/>
      <c r="AA81" s="64"/>
      <c r="AB81" s="64"/>
      <c r="AC81" s="64"/>
      <c r="AD81" s="64"/>
      <c r="AE81" s="72"/>
      <c r="AF81" s="64"/>
      <c r="AG81" s="64"/>
      <c r="AH81" s="64"/>
      <c r="AI81" s="64"/>
      <c r="AJ81" s="64"/>
      <c r="AK81" s="64"/>
      <c r="AL81" s="64"/>
      <c r="AM81" s="72"/>
      <c r="AN81" s="61"/>
      <c r="AO81" s="61"/>
      <c r="AP81" s="61"/>
      <c r="AQ81" s="61"/>
      <c r="AR81" s="61"/>
      <c r="AS81" s="61"/>
      <c r="AT81" s="56"/>
      <c r="AU81" s="62"/>
      <c r="AV81" s="49"/>
      <c r="AW81" s="49"/>
      <c r="AX81" s="49"/>
      <c r="AY81" s="49"/>
      <c r="AZ81" s="49"/>
      <c r="BA81" s="49"/>
      <c r="BB81" s="49"/>
      <c r="BC81" s="49"/>
      <c r="BD81" s="49"/>
      <c r="BE81" s="49"/>
    </row>
    <row r="82" spans="1:57" ht="12.75" customHeight="1" x14ac:dyDescent="0.25">
      <c r="A82" s="69"/>
      <c r="B82" s="71"/>
      <c r="C82" s="71"/>
      <c r="D82" s="64"/>
      <c r="E82" s="64"/>
      <c r="F82" s="64"/>
      <c r="G82" s="64"/>
      <c r="H82" s="64"/>
      <c r="I82" s="64"/>
      <c r="J82" s="64"/>
      <c r="K82" s="72"/>
      <c r="L82" s="64"/>
      <c r="M82" s="64"/>
      <c r="N82" s="64"/>
      <c r="O82" s="72"/>
      <c r="P82" s="64"/>
      <c r="Q82" s="64"/>
      <c r="R82" s="64"/>
      <c r="S82" s="64"/>
      <c r="T82" s="64"/>
      <c r="U82" s="64"/>
      <c r="V82" s="64"/>
      <c r="W82" s="72"/>
      <c r="X82" s="64"/>
      <c r="Y82" s="64"/>
      <c r="Z82" s="64"/>
      <c r="AA82" s="64"/>
      <c r="AB82" s="64"/>
      <c r="AC82" s="64"/>
      <c r="AD82" s="64"/>
      <c r="AE82" s="72"/>
      <c r="AF82" s="64"/>
      <c r="AG82" s="64"/>
      <c r="AH82" s="64"/>
      <c r="AI82" s="64"/>
      <c r="AJ82" s="64"/>
      <c r="AK82" s="64"/>
      <c r="AL82" s="64"/>
      <c r="AM82" s="72"/>
      <c r="AN82" s="61"/>
      <c r="AO82" s="61"/>
      <c r="AP82" s="61"/>
      <c r="AQ82" s="61"/>
      <c r="AR82" s="61"/>
      <c r="AS82" s="61"/>
      <c r="AT82" s="56"/>
      <c r="AU82" s="62"/>
      <c r="AV82" s="49"/>
      <c r="AW82" s="49"/>
      <c r="AX82" s="49"/>
      <c r="AY82" s="49"/>
      <c r="AZ82" s="49"/>
      <c r="BA82" s="49"/>
      <c r="BB82" s="49"/>
      <c r="BC82" s="49"/>
      <c r="BD82" s="49"/>
      <c r="BE82" s="49"/>
    </row>
    <row r="83" spans="1:57" ht="24" hidden="1" customHeight="1" x14ac:dyDescent="0.25">
      <c r="A83" s="69"/>
      <c r="B83" s="71"/>
      <c r="C83" s="71"/>
      <c r="D83" s="64"/>
      <c r="E83" s="64"/>
      <c r="F83" s="64"/>
      <c r="G83" s="64"/>
      <c r="H83" s="64"/>
      <c r="I83" s="64"/>
      <c r="J83" s="64"/>
      <c r="K83" s="72"/>
      <c r="L83" s="64"/>
      <c r="M83" s="64"/>
      <c r="N83" s="64"/>
      <c r="O83" s="72"/>
      <c r="P83" s="64"/>
      <c r="Q83" s="64"/>
      <c r="R83" s="64"/>
      <c r="S83" s="64"/>
      <c r="T83" s="64"/>
      <c r="U83" s="64"/>
      <c r="V83" s="64"/>
      <c r="W83" s="72"/>
      <c r="X83" s="64"/>
      <c r="Y83" s="64"/>
      <c r="Z83" s="64"/>
      <c r="AA83" s="64"/>
      <c r="AB83" s="64"/>
      <c r="AC83" s="64"/>
      <c r="AD83" s="64"/>
      <c r="AE83" s="72"/>
      <c r="AF83" s="64"/>
      <c r="AG83" s="64"/>
      <c r="AH83" s="64"/>
      <c r="AI83" s="64"/>
      <c r="AJ83" s="64"/>
      <c r="AK83" s="64"/>
      <c r="AL83" s="64"/>
      <c r="AM83" s="72"/>
      <c r="AN83" s="61"/>
      <c r="AO83" s="61"/>
      <c r="AP83" s="61"/>
      <c r="AQ83" s="61"/>
      <c r="AR83" s="61"/>
      <c r="AS83" s="61"/>
      <c r="AT83" s="56"/>
      <c r="AU83" s="62"/>
      <c r="AV83" s="75"/>
      <c r="AW83" s="75"/>
      <c r="AX83" s="31"/>
      <c r="AY83" s="76"/>
      <c r="AZ83" s="76"/>
      <c r="BA83" s="76"/>
      <c r="BB83" s="76"/>
      <c r="BC83" s="76"/>
      <c r="BD83" s="76"/>
      <c r="BE83" s="77"/>
    </row>
    <row r="84" spans="1:57" ht="12.75" customHeight="1" x14ac:dyDescent="0.25">
      <c r="A84" s="69"/>
      <c r="B84" s="71"/>
      <c r="C84" s="71"/>
      <c r="D84" s="64"/>
      <c r="E84" s="64"/>
      <c r="F84" s="64"/>
      <c r="G84" s="64"/>
      <c r="H84" s="64"/>
      <c r="I84" s="64"/>
      <c r="J84" s="64"/>
      <c r="K84" s="72"/>
      <c r="L84" s="64"/>
      <c r="M84" s="64"/>
      <c r="N84" s="64"/>
      <c r="O84" s="72"/>
      <c r="P84" s="64"/>
      <c r="Q84" s="64"/>
      <c r="R84" s="64"/>
      <c r="S84" s="64"/>
      <c r="T84" s="64"/>
      <c r="U84" s="64"/>
      <c r="V84" s="64"/>
      <c r="W84" s="72"/>
      <c r="X84" s="64"/>
      <c r="Y84" s="64"/>
      <c r="Z84" s="64"/>
      <c r="AA84" s="64"/>
      <c r="AB84" s="64"/>
      <c r="AC84" s="64"/>
      <c r="AD84" s="64"/>
      <c r="AE84" s="72"/>
      <c r="AF84" s="64"/>
      <c r="AG84" s="64"/>
      <c r="AH84" s="64"/>
      <c r="AI84" s="64"/>
      <c r="AJ84" s="64"/>
      <c r="AK84" s="64"/>
      <c r="AL84" s="64"/>
      <c r="AM84" s="72"/>
      <c r="AN84" s="61"/>
      <c r="AO84" s="61"/>
      <c r="AP84" s="61"/>
      <c r="AQ84" s="61"/>
      <c r="AR84" s="61"/>
      <c r="AS84" s="61"/>
      <c r="AT84" s="56"/>
      <c r="AU84" s="62"/>
      <c r="AV84" s="49"/>
      <c r="AW84" s="49"/>
      <c r="AX84" s="49"/>
      <c r="AY84" s="49"/>
      <c r="AZ84" s="49"/>
      <c r="BA84" s="49"/>
      <c r="BB84" s="49"/>
      <c r="BC84" s="49"/>
      <c r="BD84" s="49"/>
      <c r="BE84" s="49"/>
    </row>
    <row r="85" spans="1:57" ht="12.75" customHeight="1" x14ac:dyDescent="0.25">
      <c r="A85" s="69"/>
      <c r="B85" s="71"/>
      <c r="C85" s="71"/>
      <c r="D85" s="64"/>
      <c r="E85" s="64"/>
      <c r="F85" s="64"/>
      <c r="G85" s="64"/>
      <c r="H85" s="64"/>
      <c r="I85" s="64"/>
      <c r="J85" s="64"/>
      <c r="K85" s="72"/>
      <c r="L85" s="64"/>
      <c r="M85" s="64"/>
      <c r="N85" s="64"/>
      <c r="O85" s="72"/>
      <c r="P85" s="64"/>
      <c r="Q85" s="64"/>
      <c r="R85" s="64"/>
      <c r="S85" s="64"/>
      <c r="T85" s="64"/>
      <c r="U85" s="64"/>
      <c r="V85" s="64"/>
      <c r="W85" s="72"/>
      <c r="X85" s="64"/>
      <c r="Y85" s="64"/>
      <c r="Z85" s="64"/>
      <c r="AA85" s="64"/>
      <c r="AB85" s="64"/>
      <c r="AC85" s="64"/>
      <c r="AD85" s="64"/>
      <c r="AE85" s="72"/>
      <c r="AF85" s="64"/>
      <c r="AG85" s="64"/>
      <c r="AH85" s="64"/>
      <c r="AI85" s="64"/>
      <c r="AJ85" s="64"/>
      <c r="AK85" s="64"/>
      <c r="AL85" s="64"/>
      <c r="AM85" s="72"/>
      <c r="AN85" s="61"/>
      <c r="AO85" s="61"/>
      <c r="AP85" s="61"/>
      <c r="AQ85" s="61"/>
      <c r="AR85" s="61"/>
      <c r="AS85" s="61"/>
      <c r="AT85" s="56"/>
      <c r="AU85" s="62"/>
      <c r="AV85" s="49"/>
      <c r="AW85" s="49"/>
      <c r="AX85" s="49"/>
      <c r="AY85" s="49"/>
      <c r="AZ85" s="49"/>
      <c r="BA85" s="49"/>
      <c r="BB85" s="49"/>
      <c r="BC85" s="49"/>
      <c r="BD85" s="49"/>
      <c r="BE85" s="49"/>
    </row>
    <row r="86" spans="1:57" ht="12.75" customHeight="1" x14ac:dyDescent="0.25">
      <c r="A86" s="69"/>
      <c r="B86" s="71"/>
      <c r="C86" s="71"/>
      <c r="D86" s="64"/>
      <c r="E86" s="64"/>
      <c r="F86" s="64"/>
      <c r="G86" s="64"/>
      <c r="H86" s="64"/>
      <c r="I86" s="64"/>
      <c r="J86" s="64"/>
      <c r="K86" s="72"/>
      <c r="L86" s="64"/>
      <c r="M86" s="64"/>
      <c r="N86" s="64"/>
      <c r="O86" s="72"/>
      <c r="P86" s="64"/>
      <c r="Q86" s="64"/>
      <c r="R86" s="64"/>
      <c r="S86" s="64"/>
      <c r="T86" s="64"/>
      <c r="U86" s="64"/>
      <c r="V86" s="64"/>
      <c r="W86" s="72"/>
      <c r="X86" s="64"/>
      <c r="Y86" s="64"/>
      <c r="Z86" s="64"/>
      <c r="AA86" s="64"/>
      <c r="AB86" s="64"/>
      <c r="AC86" s="64"/>
      <c r="AD86" s="64"/>
      <c r="AE86" s="72"/>
      <c r="AF86" s="64"/>
      <c r="AG86" s="64"/>
      <c r="AH86" s="64"/>
      <c r="AI86" s="64"/>
      <c r="AJ86" s="64"/>
      <c r="AK86" s="64"/>
      <c r="AL86" s="64"/>
      <c r="AM86" s="72"/>
      <c r="AN86" s="61"/>
      <c r="AO86" s="61"/>
      <c r="AP86" s="61"/>
      <c r="AQ86" s="61"/>
      <c r="AR86" s="61"/>
      <c r="AS86" s="61"/>
      <c r="AT86" s="56"/>
      <c r="AU86" s="62"/>
      <c r="AV86" s="49"/>
      <c r="AW86" s="49"/>
      <c r="AX86" s="49"/>
      <c r="AY86" s="49"/>
      <c r="AZ86" s="49"/>
      <c r="BA86" s="49"/>
      <c r="BB86" s="49"/>
      <c r="BC86" s="49"/>
      <c r="BD86" s="49"/>
      <c r="BE86" s="49"/>
    </row>
    <row r="87" spans="1:57" ht="12.75" customHeight="1" x14ac:dyDescent="0.25">
      <c r="A87" s="69"/>
      <c r="B87" s="78"/>
      <c r="C87" s="79"/>
      <c r="D87" s="64"/>
      <c r="E87" s="64"/>
      <c r="F87" s="64"/>
      <c r="G87" s="64"/>
      <c r="H87" s="64"/>
      <c r="I87" s="64"/>
      <c r="J87" s="64"/>
      <c r="K87" s="72"/>
      <c r="L87" s="64"/>
      <c r="M87" s="64"/>
      <c r="N87" s="64"/>
      <c r="O87" s="72"/>
      <c r="P87" s="64"/>
      <c r="Q87" s="64"/>
      <c r="R87" s="64"/>
      <c r="S87" s="64"/>
      <c r="T87" s="64"/>
      <c r="U87" s="64"/>
      <c r="V87" s="64"/>
      <c r="W87" s="72"/>
      <c r="X87" s="64"/>
      <c r="Y87" s="64"/>
      <c r="Z87" s="64"/>
      <c r="AA87" s="64"/>
      <c r="AB87" s="64"/>
      <c r="AC87" s="64"/>
      <c r="AD87" s="64"/>
      <c r="AE87" s="72"/>
      <c r="AF87" s="64"/>
      <c r="AG87" s="64"/>
      <c r="AH87" s="64"/>
      <c r="AI87" s="64"/>
      <c r="AJ87" s="64"/>
      <c r="AK87" s="64"/>
      <c r="AL87" s="64"/>
      <c r="AM87" s="72"/>
      <c r="AN87" s="61"/>
      <c r="AO87" s="61"/>
      <c r="AP87" s="80"/>
      <c r="AQ87" s="61"/>
      <c r="AR87" s="61"/>
      <c r="AS87" s="61"/>
      <c r="AT87" s="56"/>
      <c r="AU87" s="62"/>
      <c r="AV87" s="49"/>
      <c r="AW87" s="49"/>
      <c r="AX87" s="49"/>
      <c r="AY87" s="49"/>
      <c r="AZ87" s="49"/>
      <c r="BA87" s="49"/>
      <c r="BB87" s="49"/>
      <c r="BC87" s="49"/>
      <c r="BD87" s="49"/>
      <c r="BE87" s="49"/>
    </row>
    <row r="88" spans="1:57" ht="12.75" customHeight="1" x14ac:dyDescent="0.25">
      <c r="A88" s="69"/>
      <c r="B88" s="81"/>
      <c r="C88" s="79"/>
      <c r="D88" s="64"/>
      <c r="E88" s="64"/>
      <c r="F88" s="64"/>
      <c r="G88" s="64"/>
      <c r="H88" s="64"/>
      <c r="I88" s="64"/>
      <c r="J88" s="64"/>
      <c r="K88" s="72"/>
      <c r="L88" s="64"/>
      <c r="M88" s="64"/>
      <c r="N88" s="64"/>
      <c r="O88" s="72"/>
      <c r="P88" s="64"/>
      <c r="Q88" s="64"/>
      <c r="R88" s="64"/>
      <c r="S88" s="64"/>
      <c r="T88" s="64"/>
      <c r="U88" s="64"/>
      <c r="V88" s="64"/>
      <c r="W88" s="72"/>
      <c r="X88" s="64"/>
      <c r="Y88" s="64"/>
      <c r="Z88" s="64"/>
      <c r="AA88" s="64"/>
      <c r="AB88" s="64"/>
      <c r="AC88" s="64"/>
      <c r="AD88" s="64"/>
      <c r="AE88" s="72"/>
      <c r="AF88" s="64"/>
      <c r="AG88" s="64"/>
      <c r="AH88" s="64"/>
      <c r="AI88" s="64"/>
      <c r="AJ88" s="64"/>
      <c r="AK88" s="64"/>
      <c r="AL88" s="64"/>
      <c r="AM88" s="72"/>
      <c r="AN88" s="56"/>
      <c r="AO88" s="56"/>
      <c r="AP88" s="56"/>
      <c r="AQ88" s="56"/>
      <c r="AR88" s="56"/>
      <c r="AS88" s="56"/>
      <c r="AT88" s="56"/>
      <c r="AU88" s="62"/>
      <c r="AV88" s="49"/>
      <c r="AW88" s="49"/>
      <c r="AX88" s="49"/>
      <c r="AY88" s="49"/>
      <c r="AZ88" s="49"/>
      <c r="BA88" s="49"/>
      <c r="BB88" s="49"/>
      <c r="BC88" s="49"/>
      <c r="BD88" s="49"/>
      <c r="BE88" s="49"/>
    </row>
    <row r="89" spans="1:57" ht="12.75" customHeight="1" x14ac:dyDescent="0.25">
      <c r="A89" s="69"/>
      <c r="B89" s="81"/>
      <c r="C89" s="79"/>
      <c r="D89" s="64"/>
      <c r="E89" s="64"/>
      <c r="F89" s="64"/>
      <c r="G89" s="64"/>
      <c r="H89" s="64"/>
      <c r="I89" s="64"/>
      <c r="J89" s="64"/>
      <c r="K89" s="72"/>
      <c r="L89" s="64"/>
      <c r="M89" s="64"/>
      <c r="N89" s="64"/>
      <c r="O89" s="72"/>
      <c r="P89" s="64"/>
      <c r="Q89" s="64"/>
      <c r="R89" s="64"/>
      <c r="S89" s="64"/>
      <c r="T89" s="64"/>
      <c r="U89" s="64"/>
      <c r="V89" s="64"/>
      <c r="W89" s="72"/>
      <c r="X89" s="64"/>
      <c r="Y89" s="64"/>
      <c r="Z89" s="64"/>
      <c r="AA89" s="64"/>
      <c r="AB89" s="64"/>
      <c r="AC89" s="64"/>
      <c r="AD89" s="64"/>
      <c r="AE89" s="72"/>
      <c r="AF89" s="64"/>
      <c r="AG89" s="64"/>
      <c r="AH89" s="64"/>
      <c r="AI89" s="64"/>
      <c r="AJ89" s="64"/>
      <c r="AK89" s="64"/>
      <c r="AL89" s="64"/>
      <c r="AM89" s="72"/>
      <c r="AN89" s="56"/>
      <c r="AO89" s="56"/>
      <c r="AP89" s="56"/>
      <c r="AQ89" s="56"/>
      <c r="AR89" s="56"/>
      <c r="AS89" s="56"/>
      <c r="AT89" s="56"/>
      <c r="AU89" s="62"/>
      <c r="AV89" s="49"/>
      <c r="AW89" s="49"/>
      <c r="AX89" s="49"/>
      <c r="AY89" s="49"/>
      <c r="AZ89" s="49"/>
      <c r="BA89" s="49"/>
      <c r="BB89" s="49"/>
      <c r="BC89" s="49"/>
      <c r="BD89" s="49"/>
      <c r="BE89" s="49"/>
    </row>
    <row r="90" spans="1:57" ht="12.75" customHeight="1" x14ac:dyDescent="0.25">
      <c r="A90" s="69"/>
      <c r="B90" s="81"/>
      <c r="C90" s="79"/>
      <c r="D90" s="64"/>
      <c r="E90" s="64"/>
      <c r="F90" s="64"/>
      <c r="G90" s="64"/>
      <c r="H90" s="64"/>
      <c r="I90" s="64"/>
      <c r="J90" s="64"/>
      <c r="K90" s="72"/>
      <c r="L90" s="64"/>
      <c r="M90" s="64"/>
      <c r="N90" s="64"/>
      <c r="O90" s="72"/>
      <c r="P90" s="64"/>
      <c r="Q90" s="64"/>
      <c r="R90" s="64"/>
      <c r="S90" s="64"/>
      <c r="T90" s="64"/>
      <c r="U90" s="64"/>
      <c r="V90" s="64"/>
      <c r="W90" s="72"/>
      <c r="X90" s="64"/>
      <c r="Y90" s="64"/>
      <c r="Z90" s="64"/>
      <c r="AA90" s="64"/>
      <c r="AB90" s="64"/>
      <c r="AC90" s="64"/>
      <c r="AD90" s="64"/>
      <c r="AE90" s="72"/>
      <c r="AF90" s="64"/>
      <c r="AG90" s="64"/>
      <c r="AH90" s="64"/>
      <c r="AI90" s="64"/>
      <c r="AJ90" s="64"/>
      <c r="AK90" s="64"/>
      <c r="AL90" s="64"/>
      <c r="AM90" s="72"/>
      <c r="AN90" s="56"/>
      <c r="AO90" s="56"/>
      <c r="AP90" s="56"/>
      <c r="AQ90" s="56"/>
      <c r="AR90" s="56"/>
      <c r="AS90" s="56"/>
      <c r="AT90" s="56"/>
      <c r="AU90" s="62"/>
      <c r="AV90" s="49"/>
      <c r="AW90" s="49"/>
      <c r="AX90" s="49"/>
      <c r="AY90" s="49"/>
      <c r="AZ90" s="49"/>
      <c r="BA90" s="49"/>
      <c r="BB90" s="49"/>
      <c r="BC90" s="49"/>
      <c r="BD90" s="49"/>
      <c r="BE90" s="49"/>
    </row>
    <row r="91" spans="1:57" ht="12.75" customHeight="1" x14ac:dyDescent="0.25">
      <c r="A91" s="69"/>
      <c r="B91" s="81"/>
      <c r="C91" s="79"/>
      <c r="D91" s="64"/>
      <c r="E91" s="64"/>
      <c r="F91" s="64"/>
      <c r="G91" s="64"/>
      <c r="H91" s="64"/>
      <c r="I91" s="64"/>
      <c r="J91" s="64"/>
      <c r="K91" s="72"/>
      <c r="L91" s="64"/>
      <c r="M91" s="64"/>
      <c r="N91" s="64"/>
      <c r="O91" s="72"/>
      <c r="P91" s="64"/>
      <c r="Q91" s="64"/>
      <c r="R91" s="64"/>
      <c r="S91" s="64"/>
      <c r="T91" s="64"/>
      <c r="U91" s="64"/>
      <c r="V91" s="64"/>
      <c r="W91" s="72"/>
      <c r="X91" s="64"/>
      <c r="Y91" s="64"/>
      <c r="Z91" s="64"/>
      <c r="AA91" s="64"/>
      <c r="AB91" s="64"/>
      <c r="AC91" s="64"/>
      <c r="AD91" s="64"/>
      <c r="AE91" s="72"/>
      <c r="AF91" s="64"/>
      <c r="AG91" s="64"/>
      <c r="AH91" s="64"/>
      <c r="AI91" s="64"/>
      <c r="AJ91" s="64"/>
      <c r="AK91" s="64"/>
      <c r="AL91" s="64"/>
      <c r="AM91" s="72"/>
      <c r="AN91" s="56"/>
      <c r="AO91" s="56"/>
      <c r="AP91" s="56"/>
      <c r="AQ91" s="56"/>
      <c r="AR91" s="56"/>
      <c r="AS91" s="56"/>
      <c r="AT91" s="56"/>
      <c r="AU91" s="62"/>
      <c r="AV91" s="49"/>
      <c r="AW91" s="49"/>
      <c r="AX91" s="49"/>
      <c r="AY91" s="49"/>
      <c r="AZ91" s="49"/>
      <c r="BA91" s="49"/>
      <c r="BB91" s="49"/>
      <c r="BC91" s="49"/>
      <c r="BD91" s="49"/>
      <c r="BE91" s="49"/>
    </row>
    <row r="92" spans="1:57" ht="12.75" customHeight="1" x14ac:dyDescent="0.25">
      <c r="A92" s="69"/>
      <c r="B92" s="81"/>
      <c r="C92" s="79"/>
      <c r="D92" s="64"/>
      <c r="E92" s="64"/>
      <c r="F92" s="64"/>
      <c r="G92" s="64"/>
      <c r="H92" s="64"/>
      <c r="I92" s="64"/>
      <c r="J92" s="64"/>
      <c r="K92" s="72"/>
      <c r="L92" s="64"/>
      <c r="M92" s="64"/>
      <c r="N92" s="64"/>
      <c r="O92" s="72"/>
      <c r="P92" s="64"/>
      <c r="Q92" s="64"/>
      <c r="R92" s="64"/>
      <c r="S92" s="64"/>
      <c r="T92" s="64"/>
      <c r="U92" s="64"/>
      <c r="V92" s="64"/>
      <c r="W92" s="72"/>
      <c r="X92" s="64"/>
      <c r="Y92" s="64"/>
      <c r="Z92" s="64"/>
      <c r="AA92" s="64"/>
      <c r="AB92" s="64"/>
      <c r="AC92" s="64"/>
      <c r="AD92" s="64"/>
      <c r="AE92" s="72"/>
      <c r="AF92" s="64"/>
      <c r="AG92" s="64"/>
      <c r="AH92" s="64"/>
      <c r="AI92" s="64"/>
      <c r="AJ92" s="64"/>
      <c r="AK92" s="64"/>
      <c r="AL92" s="64"/>
      <c r="AM92" s="72"/>
      <c r="AN92" s="56"/>
      <c r="AO92" s="56"/>
      <c r="AP92" s="56"/>
      <c r="AQ92" s="56"/>
      <c r="AR92" s="56"/>
      <c r="AS92" s="56"/>
      <c r="AT92" s="56"/>
      <c r="AU92" s="62"/>
      <c r="AV92" s="49"/>
      <c r="AW92" s="49"/>
      <c r="AX92" s="49"/>
      <c r="AY92" s="49"/>
      <c r="AZ92" s="49"/>
      <c r="BA92" s="49"/>
      <c r="BB92" s="49"/>
      <c r="BC92" s="49"/>
      <c r="BD92" s="49"/>
      <c r="BE92" s="49"/>
    </row>
    <row r="93" spans="1:57" ht="12.75" customHeight="1" x14ac:dyDescent="0.25">
      <c r="A93" s="69"/>
      <c r="B93" s="82"/>
      <c r="C93" s="79"/>
      <c r="D93" s="69"/>
      <c r="E93" s="69"/>
      <c r="F93" s="61"/>
      <c r="G93" s="61"/>
      <c r="H93" s="61"/>
      <c r="I93" s="61"/>
      <c r="J93" s="61"/>
      <c r="K93" s="72"/>
      <c r="L93" s="64"/>
      <c r="M93" s="64"/>
      <c r="N93" s="64"/>
      <c r="O93" s="72"/>
      <c r="P93" s="64"/>
      <c r="Q93" s="64"/>
      <c r="R93" s="64"/>
      <c r="S93" s="64"/>
      <c r="T93" s="64"/>
      <c r="U93" s="64"/>
      <c r="V93" s="64"/>
      <c r="W93" s="72"/>
      <c r="X93" s="64"/>
      <c r="Y93" s="64"/>
      <c r="Z93" s="64"/>
      <c r="AA93" s="64"/>
      <c r="AB93" s="64"/>
      <c r="AC93" s="64"/>
      <c r="AD93" s="64"/>
      <c r="AE93" s="72"/>
      <c r="AF93" s="64"/>
      <c r="AG93" s="64"/>
      <c r="AH93" s="64"/>
      <c r="AI93" s="64"/>
      <c r="AJ93" s="64"/>
      <c r="AK93" s="64"/>
      <c r="AL93" s="64"/>
      <c r="AM93" s="72"/>
      <c r="AN93" s="56"/>
      <c r="AO93" s="56"/>
      <c r="AP93" s="56"/>
      <c r="AQ93" s="56"/>
      <c r="AR93" s="56"/>
      <c r="AS93" s="56"/>
      <c r="AT93" s="56"/>
      <c r="AU93" s="62"/>
      <c r="AV93" s="49"/>
      <c r="AW93" s="49"/>
      <c r="AX93" s="49"/>
      <c r="AY93" s="49"/>
      <c r="AZ93" s="49"/>
      <c r="BA93" s="49"/>
      <c r="BB93" s="49"/>
      <c r="BC93" s="49"/>
      <c r="BD93" s="49"/>
      <c r="BE93" s="49"/>
    </row>
    <row r="94" spans="1:57" ht="12.75" customHeight="1" x14ac:dyDescent="0.25">
      <c r="A94" s="69"/>
      <c r="B94" s="82"/>
      <c r="C94" s="79"/>
      <c r="D94" s="64"/>
      <c r="E94" s="64"/>
      <c r="F94" s="64"/>
      <c r="G94" s="64"/>
      <c r="H94" s="64"/>
      <c r="I94" s="64"/>
      <c r="J94" s="64"/>
      <c r="K94" s="72"/>
      <c r="L94" s="61"/>
      <c r="M94" s="61"/>
      <c r="N94" s="61"/>
      <c r="O94" s="72"/>
      <c r="P94" s="61"/>
      <c r="Q94" s="61"/>
      <c r="R94" s="61"/>
      <c r="S94" s="61"/>
      <c r="T94" s="61"/>
      <c r="U94" s="61"/>
      <c r="V94" s="61"/>
      <c r="W94" s="72"/>
      <c r="X94" s="61"/>
      <c r="Y94" s="61"/>
      <c r="Z94" s="61"/>
      <c r="AA94" s="61"/>
      <c r="AB94" s="61"/>
      <c r="AC94" s="61"/>
      <c r="AD94" s="61"/>
      <c r="AE94" s="72"/>
      <c r="AF94" s="61"/>
      <c r="AG94" s="61"/>
      <c r="AH94" s="61"/>
      <c r="AI94" s="61"/>
      <c r="AJ94" s="61"/>
      <c r="AK94" s="61"/>
      <c r="AL94" s="61"/>
      <c r="AM94" s="72"/>
      <c r="AN94" s="56"/>
      <c r="AO94" s="56"/>
      <c r="AP94" s="56"/>
      <c r="AQ94" s="56"/>
      <c r="AR94" s="56"/>
      <c r="AS94" s="56"/>
      <c r="AT94" s="56"/>
      <c r="AU94" s="62"/>
      <c r="AV94" s="49"/>
      <c r="AW94" s="49"/>
      <c r="AX94" s="49"/>
      <c r="AY94" s="49"/>
      <c r="AZ94" s="49"/>
      <c r="BA94" s="49"/>
      <c r="BB94" s="49"/>
      <c r="BC94" s="49"/>
      <c r="BD94" s="49"/>
      <c r="BE94" s="49"/>
    </row>
    <row r="95" spans="1:57" ht="12.75" customHeight="1" x14ac:dyDescent="0.25">
      <c r="A95" s="69"/>
      <c r="B95" s="82"/>
      <c r="C95" s="79"/>
      <c r="D95" s="64"/>
      <c r="E95" s="64"/>
      <c r="F95" s="64"/>
      <c r="G95" s="64"/>
      <c r="H95" s="64"/>
      <c r="I95" s="64"/>
      <c r="J95" s="64"/>
      <c r="K95" s="72"/>
      <c r="L95" s="61"/>
      <c r="M95" s="61"/>
      <c r="N95" s="61"/>
      <c r="O95" s="72"/>
      <c r="P95" s="61"/>
      <c r="Q95" s="61"/>
      <c r="R95" s="61"/>
      <c r="S95" s="61"/>
      <c r="T95" s="61"/>
      <c r="U95" s="61"/>
      <c r="V95" s="61"/>
      <c r="W95" s="72"/>
      <c r="X95" s="61"/>
      <c r="Y95" s="61"/>
      <c r="Z95" s="61"/>
      <c r="AA95" s="61"/>
      <c r="AB95" s="61"/>
      <c r="AC95" s="61"/>
      <c r="AD95" s="61"/>
      <c r="AE95" s="72"/>
      <c r="AF95" s="61"/>
      <c r="AG95" s="61"/>
      <c r="AH95" s="61"/>
      <c r="AI95" s="61"/>
      <c r="AJ95" s="61"/>
      <c r="AK95" s="61"/>
      <c r="AL95" s="61"/>
      <c r="AM95" s="72"/>
      <c r="AN95" s="56"/>
      <c r="AO95" s="56"/>
      <c r="AP95" s="56"/>
      <c r="AQ95" s="56"/>
      <c r="AR95" s="56"/>
      <c r="AS95" s="56"/>
      <c r="AT95" s="56"/>
      <c r="AU95" s="62"/>
      <c r="AV95" s="49"/>
      <c r="AW95" s="49"/>
      <c r="AX95" s="49"/>
      <c r="AY95" s="49"/>
      <c r="AZ95" s="49"/>
      <c r="BA95" s="49"/>
      <c r="BB95" s="49"/>
      <c r="BC95" s="49"/>
      <c r="BD95" s="49"/>
      <c r="BE95" s="49"/>
    </row>
    <row r="96" spans="1:57" ht="12.75" customHeight="1" x14ac:dyDescent="0.25">
      <c r="A96" s="69"/>
      <c r="B96" s="82"/>
      <c r="C96" s="79"/>
      <c r="D96" s="64"/>
      <c r="E96" s="64"/>
      <c r="F96" s="64"/>
      <c r="G96" s="64"/>
      <c r="H96" s="64"/>
      <c r="I96" s="64"/>
      <c r="J96" s="64"/>
      <c r="K96" s="72"/>
      <c r="L96" s="61"/>
      <c r="M96" s="61"/>
      <c r="N96" s="61"/>
      <c r="O96" s="72"/>
      <c r="P96" s="61"/>
      <c r="Q96" s="61"/>
      <c r="R96" s="61"/>
      <c r="S96" s="61"/>
      <c r="T96" s="61"/>
      <c r="U96" s="61"/>
      <c r="V96" s="61"/>
      <c r="W96" s="72"/>
      <c r="X96" s="61"/>
      <c r="Y96" s="61"/>
      <c r="Z96" s="61"/>
      <c r="AA96" s="61"/>
      <c r="AB96" s="61"/>
      <c r="AC96" s="61"/>
      <c r="AD96" s="61"/>
      <c r="AE96" s="72"/>
      <c r="AF96" s="61"/>
      <c r="AG96" s="61"/>
      <c r="AH96" s="61"/>
      <c r="AI96" s="61"/>
      <c r="AJ96" s="61"/>
      <c r="AK96" s="61"/>
      <c r="AL96" s="61"/>
      <c r="AM96" s="72"/>
      <c r="AN96" s="56"/>
      <c r="AO96" s="56"/>
      <c r="AP96" s="56"/>
      <c r="AQ96" s="56"/>
      <c r="AR96" s="56"/>
      <c r="AS96" s="56"/>
      <c r="AT96" s="56"/>
      <c r="AU96" s="62"/>
      <c r="AV96" s="49"/>
      <c r="AW96" s="49"/>
      <c r="AX96" s="49"/>
      <c r="AY96" s="49"/>
      <c r="AZ96" s="49"/>
      <c r="BA96" s="49"/>
      <c r="BB96" s="49"/>
      <c r="BC96" s="49"/>
      <c r="BD96" s="49"/>
      <c r="BE96" s="49"/>
    </row>
    <row r="97" spans="1:57" ht="12.75" customHeight="1" x14ac:dyDescent="0.25">
      <c r="A97" s="69"/>
      <c r="B97" s="82"/>
      <c r="C97" s="79"/>
      <c r="D97" s="61"/>
      <c r="E97" s="61"/>
      <c r="F97" s="61"/>
      <c r="G97" s="61"/>
      <c r="H97" s="61"/>
      <c r="I97" s="61"/>
      <c r="J97" s="61"/>
      <c r="K97" s="72"/>
      <c r="L97" s="61"/>
      <c r="M97" s="64"/>
      <c r="N97" s="64"/>
      <c r="O97" s="72"/>
      <c r="P97" s="64"/>
      <c r="Q97" s="64"/>
      <c r="R97" s="64"/>
      <c r="S97" s="64"/>
      <c r="T97" s="64"/>
      <c r="U97" s="64"/>
      <c r="V97" s="64"/>
      <c r="W97" s="72"/>
      <c r="X97" s="64"/>
      <c r="Y97" s="64"/>
      <c r="Z97" s="64"/>
      <c r="AA97" s="64"/>
      <c r="AB97" s="64"/>
      <c r="AC97" s="64"/>
      <c r="AD97" s="64"/>
      <c r="AE97" s="72"/>
      <c r="AF97" s="64"/>
      <c r="AG97" s="64"/>
      <c r="AH97" s="64"/>
      <c r="AI97" s="64"/>
      <c r="AJ97" s="64"/>
      <c r="AK97" s="64"/>
      <c r="AL97" s="64"/>
      <c r="AM97" s="72"/>
      <c r="AN97" s="56"/>
      <c r="AO97" s="56"/>
      <c r="AP97" s="56"/>
      <c r="AQ97" s="56"/>
      <c r="AR97" s="56"/>
      <c r="AS97" s="56"/>
      <c r="AT97" s="56"/>
      <c r="AU97" s="62"/>
      <c r="AV97" s="49"/>
      <c r="AW97" s="49"/>
      <c r="AX97" s="49"/>
      <c r="AY97" s="49"/>
      <c r="AZ97" s="49"/>
      <c r="BA97" s="49"/>
      <c r="BB97" s="49"/>
      <c r="BC97" s="49"/>
      <c r="BD97" s="49"/>
      <c r="BE97" s="49"/>
    </row>
    <row r="98" spans="1:57" ht="12.75" customHeight="1" x14ac:dyDescent="0.25">
      <c r="A98" s="69"/>
      <c r="B98" s="82"/>
      <c r="C98" s="79"/>
      <c r="D98" s="61"/>
      <c r="E98" s="61"/>
      <c r="F98" s="61"/>
      <c r="G98" s="61"/>
      <c r="H98" s="61"/>
      <c r="I98" s="61"/>
      <c r="J98" s="61"/>
      <c r="K98" s="72"/>
      <c r="L98" s="61"/>
      <c r="M98" s="61"/>
      <c r="N98" s="61"/>
      <c r="O98" s="72"/>
      <c r="P98" s="61"/>
      <c r="Q98" s="61"/>
      <c r="R98" s="61"/>
      <c r="S98" s="61"/>
      <c r="T98" s="61"/>
      <c r="U98" s="61"/>
      <c r="V98" s="61"/>
      <c r="W98" s="72"/>
      <c r="X98" s="61"/>
      <c r="Y98" s="61"/>
      <c r="Z98" s="61"/>
      <c r="AA98" s="61"/>
      <c r="AB98" s="61"/>
      <c r="AC98" s="61"/>
      <c r="AD98" s="61"/>
      <c r="AE98" s="72"/>
      <c r="AF98" s="64"/>
      <c r="AG98" s="64"/>
      <c r="AH98" s="61"/>
      <c r="AI98" s="61"/>
      <c r="AJ98" s="61"/>
      <c r="AK98" s="61"/>
      <c r="AL98" s="61"/>
      <c r="AM98" s="72"/>
      <c r="AN98" s="56"/>
      <c r="AO98" s="56"/>
      <c r="AP98" s="56"/>
      <c r="AQ98" s="56"/>
      <c r="AR98" s="56"/>
      <c r="AS98" s="56"/>
      <c r="AT98" s="56"/>
      <c r="AU98" s="62"/>
      <c r="AV98" s="49"/>
      <c r="AW98" s="49"/>
      <c r="AX98" s="49"/>
      <c r="AY98" s="49"/>
      <c r="AZ98" s="49"/>
      <c r="BA98" s="49"/>
      <c r="BB98" s="49"/>
      <c r="BC98" s="49"/>
      <c r="BD98" s="49"/>
      <c r="BE98" s="49"/>
    </row>
    <row r="99" spans="1:57" ht="12.75" customHeight="1" x14ac:dyDescent="0.25">
      <c r="A99" s="363"/>
      <c r="B99" s="276"/>
      <c r="C99" s="277"/>
      <c r="D99" s="83"/>
      <c r="E99" s="83"/>
      <c r="F99" s="83"/>
      <c r="G99" s="83"/>
      <c r="H99" s="83"/>
      <c r="I99" s="83"/>
      <c r="J99" s="83"/>
      <c r="K99" s="358"/>
      <c r="L99" s="83"/>
      <c r="M99" s="83"/>
      <c r="N99" s="83"/>
      <c r="O99" s="358"/>
      <c r="P99" s="83"/>
      <c r="Q99" s="83"/>
      <c r="R99" s="83"/>
      <c r="S99" s="83"/>
      <c r="T99" s="83"/>
      <c r="U99" s="83"/>
      <c r="V99" s="83"/>
      <c r="W99" s="358"/>
      <c r="X99" s="83"/>
      <c r="Y99" s="83"/>
      <c r="Z99" s="83"/>
      <c r="AA99" s="83"/>
      <c r="AB99" s="83"/>
      <c r="AC99" s="83"/>
      <c r="AD99" s="83"/>
      <c r="AE99" s="358"/>
      <c r="AF99" s="83"/>
      <c r="AG99" s="83"/>
      <c r="AH99" s="83"/>
      <c r="AI99" s="83"/>
      <c r="AJ99" s="83"/>
      <c r="AK99" s="83"/>
      <c r="AL99" s="83"/>
      <c r="AM99" s="358"/>
      <c r="AN99" s="83"/>
      <c r="AO99" s="83"/>
      <c r="AP99" s="83"/>
      <c r="AQ99" s="83"/>
      <c r="AR99" s="83"/>
      <c r="AS99" s="83"/>
      <c r="AT99" s="83"/>
      <c r="AU99" s="359"/>
      <c r="AV99" s="49"/>
      <c r="AW99" s="49"/>
      <c r="AX99" s="49"/>
      <c r="AY99" s="49"/>
      <c r="AZ99" s="49"/>
      <c r="BA99" s="49"/>
      <c r="BB99" s="49"/>
      <c r="BC99" s="49"/>
      <c r="BD99" s="49"/>
      <c r="BE99" s="49"/>
    </row>
    <row r="100" spans="1:57" ht="12.75" customHeight="1" x14ac:dyDescent="0.25">
      <c r="A100" s="363"/>
      <c r="B100" s="276"/>
      <c r="C100" s="277"/>
      <c r="D100" s="83"/>
      <c r="E100" s="83"/>
      <c r="F100" s="83"/>
      <c r="G100" s="83"/>
      <c r="H100" s="83"/>
      <c r="I100" s="83"/>
      <c r="J100" s="83"/>
      <c r="K100" s="340"/>
      <c r="L100" s="83"/>
      <c r="M100" s="83"/>
      <c r="N100" s="83"/>
      <c r="O100" s="340"/>
      <c r="P100" s="83"/>
      <c r="Q100" s="83"/>
      <c r="R100" s="83"/>
      <c r="S100" s="83"/>
      <c r="T100" s="83"/>
      <c r="U100" s="83"/>
      <c r="V100" s="83"/>
      <c r="W100" s="340"/>
      <c r="X100" s="83"/>
      <c r="Y100" s="83"/>
      <c r="Z100" s="83"/>
      <c r="AA100" s="83"/>
      <c r="AB100" s="83"/>
      <c r="AC100" s="83"/>
      <c r="AD100" s="83"/>
      <c r="AE100" s="340"/>
      <c r="AF100" s="83"/>
      <c r="AG100" s="83"/>
      <c r="AH100" s="83"/>
      <c r="AI100" s="83"/>
      <c r="AJ100" s="83"/>
      <c r="AK100" s="83"/>
      <c r="AL100" s="83"/>
      <c r="AM100" s="340"/>
      <c r="AN100" s="83"/>
      <c r="AO100" s="83"/>
      <c r="AP100" s="83"/>
      <c r="AQ100" s="83"/>
      <c r="AR100" s="83"/>
      <c r="AS100" s="83"/>
      <c r="AT100" s="83"/>
      <c r="AU100" s="340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</row>
    <row r="101" spans="1:57" ht="12.75" customHeight="1" x14ac:dyDescent="0.25">
      <c r="A101" s="363"/>
      <c r="B101" s="276"/>
      <c r="C101" s="277"/>
      <c r="D101" s="83"/>
      <c r="E101" s="83"/>
      <c r="F101" s="83"/>
      <c r="G101" s="83"/>
      <c r="H101" s="83"/>
      <c r="I101" s="83"/>
      <c r="J101" s="83"/>
      <c r="K101" s="340"/>
      <c r="L101" s="83"/>
      <c r="M101" s="83"/>
      <c r="N101" s="83"/>
      <c r="O101" s="340"/>
      <c r="P101" s="83"/>
      <c r="Q101" s="83"/>
      <c r="R101" s="83"/>
      <c r="S101" s="83"/>
      <c r="T101" s="83"/>
      <c r="U101" s="83"/>
      <c r="V101" s="83"/>
      <c r="W101" s="340"/>
      <c r="X101" s="83"/>
      <c r="Y101" s="83"/>
      <c r="Z101" s="83"/>
      <c r="AA101" s="83"/>
      <c r="AB101" s="83"/>
      <c r="AC101" s="83"/>
      <c r="AD101" s="83"/>
      <c r="AE101" s="340"/>
      <c r="AF101" s="83"/>
      <c r="AG101" s="83"/>
      <c r="AH101" s="83"/>
      <c r="AI101" s="83"/>
      <c r="AJ101" s="83"/>
      <c r="AK101" s="83"/>
      <c r="AL101" s="83"/>
      <c r="AM101" s="340"/>
      <c r="AN101" s="83"/>
      <c r="AO101" s="83"/>
      <c r="AP101" s="83"/>
      <c r="AQ101" s="83"/>
      <c r="AR101" s="83"/>
      <c r="AS101" s="83"/>
      <c r="AT101" s="83"/>
      <c r="AU101" s="340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</row>
    <row r="102" spans="1:57" ht="12.75" customHeight="1" x14ac:dyDescent="0.25">
      <c r="A102" s="363"/>
      <c r="B102" s="276"/>
      <c r="C102" s="277"/>
      <c r="D102" s="61"/>
      <c r="E102" s="61"/>
      <c r="F102" s="61"/>
      <c r="G102" s="61"/>
      <c r="H102" s="61"/>
      <c r="I102" s="61"/>
      <c r="J102" s="61"/>
      <c r="K102" s="340"/>
      <c r="L102" s="61"/>
      <c r="M102" s="61"/>
      <c r="N102" s="61"/>
      <c r="O102" s="340"/>
      <c r="P102" s="61"/>
      <c r="Q102" s="61"/>
      <c r="R102" s="61"/>
      <c r="S102" s="61"/>
      <c r="T102" s="61"/>
      <c r="U102" s="61"/>
      <c r="V102" s="61"/>
      <c r="W102" s="340"/>
      <c r="X102" s="61"/>
      <c r="Y102" s="61"/>
      <c r="Z102" s="61"/>
      <c r="AA102" s="61"/>
      <c r="AB102" s="61"/>
      <c r="AC102" s="61"/>
      <c r="AD102" s="61"/>
      <c r="AE102" s="340"/>
      <c r="AF102" s="61"/>
      <c r="AG102" s="61"/>
      <c r="AH102" s="61"/>
      <c r="AI102" s="61"/>
      <c r="AJ102" s="61"/>
      <c r="AK102" s="61"/>
      <c r="AL102" s="61"/>
      <c r="AM102" s="340"/>
      <c r="AN102" s="61"/>
      <c r="AO102" s="61"/>
      <c r="AP102" s="61"/>
      <c r="AQ102" s="61"/>
      <c r="AR102" s="61"/>
      <c r="AS102" s="61"/>
      <c r="AT102" s="61"/>
      <c r="AU102" s="352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</row>
    <row r="103" spans="1:57" ht="12.75" customHeight="1" x14ac:dyDescent="0.25">
      <c r="A103" s="363"/>
      <c r="B103" s="276"/>
      <c r="C103" s="277"/>
      <c r="D103" s="61"/>
      <c r="E103" s="61"/>
      <c r="F103" s="61"/>
      <c r="G103" s="61"/>
      <c r="H103" s="61"/>
      <c r="I103" s="61"/>
      <c r="J103" s="61"/>
      <c r="K103" s="340"/>
      <c r="L103" s="61"/>
      <c r="M103" s="61"/>
      <c r="N103" s="61"/>
      <c r="O103" s="340"/>
      <c r="P103" s="61"/>
      <c r="Q103" s="61"/>
      <c r="R103" s="61"/>
      <c r="S103" s="61"/>
      <c r="T103" s="61"/>
      <c r="U103" s="61"/>
      <c r="V103" s="61"/>
      <c r="W103" s="340"/>
      <c r="X103" s="61"/>
      <c r="Y103" s="61"/>
      <c r="Z103" s="61"/>
      <c r="AA103" s="61"/>
      <c r="AB103" s="61"/>
      <c r="AC103" s="61"/>
      <c r="AD103" s="61"/>
      <c r="AE103" s="340"/>
      <c r="AF103" s="61"/>
      <c r="AG103" s="61"/>
      <c r="AH103" s="61"/>
      <c r="AI103" s="61"/>
      <c r="AJ103" s="61"/>
      <c r="AK103" s="61"/>
      <c r="AL103" s="61"/>
      <c r="AM103" s="340"/>
      <c r="AN103" s="61"/>
      <c r="AO103" s="61"/>
      <c r="AP103" s="61"/>
      <c r="AQ103" s="61"/>
      <c r="AR103" s="61"/>
      <c r="AS103" s="61"/>
      <c r="AT103" s="61"/>
      <c r="AU103" s="61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</row>
    <row r="104" spans="1:57" ht="12.75" customHeight="1" x14ac:dyDescent="0.25">
      <c r="A104" s="363"/>
      <c r="B104" s="276"/>
      <c r="C104" s="277"/>
      <c r="D104" s="61"/>
      <c r="E104" s="61"/>
      <c r="F104" s="61"/>
      <c r="G104" s="61"/>
      <c r="H104" s="61"/>
      <c r="I104" s="61"/>
      <c r="J104" s="61"/>
      <c r="K104" s="340"/>
      <c r="L104" s="61"/>
      <c r="M104" s="61"/>
      <c r="N104" s="61"/>
      <c r="O104" s="340"/>
      <c r="P104" s="61"/>
      <c r="Q104" s="61"/>
      <c r="R104" s="61"/>
      <c r="S104" s="61"/>
      <c r="T104" s="61"/>
      <c r="U104" s="61"/>
      <c r="V104" s="61"/>
      <c r="W104" s="340"/>
      <c r="X104" s="61"/>
      <c r="Y104" s="61"/>
      <c r="Z104" s="61"/>
      <c r="AA104" s="61"/>
      <c r="AB104" s="61"/>
      <c r="AC104" s="61"/>
      <c r="AD104" s="61"/>
      <c r="AE104" s="340"/>
      <c r="AF104" s="61"/>
      <c r="AG104" s="61"/>
      <c r="AH104" s="61"/>
      <c r="AI104" s="61"/>
      <c r="AJ104" s="61"/>
      <c r="AK104" s="61"/>
      <c r="AL104" s="61"/>
      <c r="AM104" s="340"/>
      <c r="AN104" s="61"/>
      <c r="AO104" s="61"/>
      <c r="AP104" s="61"/>
      <c r="AQ104" s="61"/>
      <c r="AR104" s="61"/>
      <c r="AS104" s="61"/>
      <c r="AT104" s="61"/>
      <c r="AU104" s="61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</row>
    <row r="105" spans="1:57" ht="12.75" customHeight="1" x14ac:dyDescent="0.25">
      <c r="A105" s="363"/>
      <c r="B105" s="276"/>
      <c r="C105" s="277"/>
      <c r="D105" s="61"/>
      <c r="E105" s="61"/>
      <c r="F105" s="61"/>
      <c r="G105" s="61"/>
      <c r="H105" s="61"/>
      <c r="I105" s="61"/>
      <c r="J105" s="61"/>
      <c r="K105" s="352"/>
      <c r="L105" s="61"/>
      <c r="M105" s="61"/>
      <c r="N105" s="61"/>
      <c r="O105" s="352"/>
      <c r="P105" s="61"/>
      <c r="Q105" s="61"/>
      <c r="R105" s="61"/>
      <c r="S105" s="61"/>
      <c r="T105" s="61"/>
      <c r="U105" s="61"/>
      <c r="V105" s="61"/>
      <c r="W105" s="352"/>
      <c r="X105" s="61"/>
      <c r="Y105" s="61"/>
      <c r="Z105" s="61"/>
      <c r="AA105" s="61"/>
      <c r="AB105" s="61"/>
      <c r="AC105" s="61"/>
      <c r="AD105" s="61"/>
      <c r="AE105" s="352"/>
      <c r="AF105" s="61"/>
      <c r="AG105" s="61"/>
      <c r="AH105" s="61"/>
      <c r="AI105" s="61"/>
      <c r="AJ105" s="61"/>
      <c r="AK105" s="61"/>
      <c r="AL105" s="61"/>
      <c r="AM105" s="352"/>
      <c r="AN105" s="61"/>
      <c r="AO105" s="61"/>
      <c r="AP105" s="61"/>
      <c r="AQ105" s="61"/>
      <c r="AR105" s="61"/>
      <c r="AS105" s="61"/>
      <c r="AT105" s="61"/>
      <c r="AU105" s="61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</row>
    <row r="106" spans="1:57" ht="12.75" customHeight="1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</row>
    <row r="107" spans="1:57" ht="12.75" customHeight="1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</row>
    <row r="108" spans="1:57" ht="12.75" customHeight="1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</row>
    <row r="109" spans="1:57" ht="12.75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</row>
    <row r="110" spans="1:57" ht="12.75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</row>
    <row r="111" spans="1:57" ht="12.75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</row>
    <row r="112" spans="1:57" ht="12.75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</row>
    <row r="113" spans="1:57" ht="12.75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</row>
    <row r="114" spans="1:57" ht="12.75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</row>
    <row r="115" spans="1:57" ht="12.75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</row>
    <row r="116" spans="1:57" ht="12.75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</row>
    <row r="117" spans="1:57" ht="12.75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</row>
    <row r="118" spans="1:57" ht="12.75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</row>
    <row r="119" spans="1:57" ht="12.75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</row>
    <row r="120" spans="1:57" ht="12.75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</row>
    <row r="121" spans="1:57" ht="12.75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</row>
    <row r="122" spans="1:57" ht="12.75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</row>
    <row r="123" spans="1:57" ht="12.75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</row>
    <row r="124" spans="1:57" ht="12.75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</row>
    <row r="125" spans="1:57" ht="12.75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</row>
    <row r="126" spans="1:57" ht="12.75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</row>
    <row r="127" spans="1:57" ht="12.75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</row>
    <row r="128" spans="1:57" ht="12.75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</row>
    <row r="129" spans="1:57" ht="12.75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</row>
    <row r="130" spans="1:57" ht="12.75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</row>
    <row r="131" spans="1:57" ht="12.75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</row>
    <row r="132" spans="1:57" ht="12.75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</row>
    <row r="133" spans="1:57" ht="12.75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</row>
    <row r="134" spans="1:57" ht="12.75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</row>
    <row r="135" spans="1:57" ht="12.75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</row>
    <row r="136" spans="1:57" ht="12.75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</row>
    <row r="137" spans="1:57" ht="12.75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</row>
    <row r="138" spans="1:57" ht="12.75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</row>
    <row r="139" spans="1:57" ht="12.75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</row>
    <row r="140" spans="1:57" ht="12.75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</row>
    <row r="141" spans="1:57" ht="12.75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</row>
    <row r="142" spans="1:57" ht="12.75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</row>
    <row r="143" spans="1:57" ht="12.75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</row>
    <row r="144" spans="1:57" ht="12.75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</row>
    <row r="145" spans="1:57" ht="12.75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</row>
    <row r="146" spans="1:57" ht="12.75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</row>
    <row r="147" spans="1:57" ht="12.75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</row>
    <row r="148" spans="1:57" ht="12.75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</row>
    <row r="149" spans="1:57" ht="12.75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</row>
    <row r="150" spans="1:57" ht="12.75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</row>
    <row r="151" spans="1:57" ht="12.75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</row>
    <row r="152" spans="1:57" ht="12.75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</row>
    <row r="153" spans="1:57" ht="12.75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</row>
    <row r="154" spans="1:57" ht="12.75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</row>
    <row r="155" spans="1:57" ht="12.75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</row>
    <row r="156" spans="1:57" ht="12.75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</row>
    <row r="157" spans="1:57" ht="12.75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</row>
    <row r="158" spans="1:57" ht="12.75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</row>
    <row r="159" spans="1:57" ht="12.75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</row>
    <row r="160" spans="1:57" ht="12.75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</row>
    <row r="161" spans="1:57" ht="12.7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</row>
    <row r="162" spans="1:57" ht="12.75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</row>
    <row r="163" spans="1:57" ht="12.75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</row>
    <row r="164" spans="1:57" ht="12.75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</row>
    <row r="165" spans="1:57" ht="12.75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</row>
    <row r="166" spans="1:57" ht="12.75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</row>
    <row r="167" spans="1:57" ht="12.75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</row>
    <row r="168" spans="1:57" ht="12.75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</row>
    <row r="169" spans="1:57" ht="12.75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</row>
    <row r="170" spans="1:57" ht="12.75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</row>
    <row r="171" spans="1:57" ht="12.75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</row>
    <row r="172" spans="1:57" ht="12.75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</row>
    <row r="173" spans="1:57" ht="12.75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</row>
    <row r="174" spans="1:57" ht="12.75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</row>
    <row r="175" spans="1:57" ht="12.75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</row>
    <row r="176" spans="1:57" ht="12.75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</row>
    <row r="177" spans="1:57" ht="12.75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</row>
    <row r="178" spans="1:57" ht="12.75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</row>
    <row r="179" spans="1:57" ht="12.75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</row>
    <row r="180" spans="1:57" ht="12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</row>
    <row r="181" spans="1:57" ht="12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</row>
    <row r="182" spans="1:57" ht="12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</row>
    <row r="183" spans="1:57" ht="12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</row>
    <row r="184" spans="1:57" ht="12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</row>
    <row r="185" spans="1:57" ht="12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</row>
    <row r="186" spans="1:57" ht="12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</row>
    <row r="187" spans="1:57" ht="12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</row>
    <row r="188" spans="1:57" ht="12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</row>
    <row r="189" spans="1:57" ht="12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</row>
    <row r="190" spans="1:57" ht="12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</row>
    <row r="191" spans="1:57" ht="12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</row>
    <row r="192" spans="1:57" ht="12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</row>
    <row r="193" spans="1:57" ht="12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</row>
    <row r="194" spans="1:57" ht="12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</row>
    <row r="195" spans="1:57" ht="12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</row>
    <row r="196" spans="1:57" ht="12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</row>
    <row r="197" spans="1:57" ht="12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</row>
    <row r="198" spans="1:57" ht="12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</row>
    <row r="199" spans="1:57" ht="12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</row>
    <row r="200" spans="1:57" ht="12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</row>
    <row r="201" spans="1:57" ht="12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</row>
    <row r="202" spans="1:57" ht="12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</row>
    <row r="203" spans="1:57" ht="12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</row>
    <row r="204" spans="1:57" ht="12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</row>
    <row r="205" spans="1:57" ht="12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</row>
    <row r="206" spans="1:57" ht="12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</row>
    <row r="207" spans="1:57" ht="12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</row>
    <row r="208" spans="1:57" ht="12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</row>
    <row r="209" spans="1:57" ht="12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</row>
    <row r="210" spans="1:57" ht="12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</row>
    <row r="211" spans="1:57" ht="12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</row>
    <row r="212" spans="1:57" ht="12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</row>
    <row r="213" spans="1:57" ht="12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</row>
    <row r="214" spans="1:57" ht="12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</row>
    <row r="215" spans="1:57" ht="12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</row>
    <row r="216" spans="1:57" ht="12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</row>
    <row r="217" spans="1:57" ht="12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</row>
    <row r="218" spans="1:57" ht="12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</row>
    <row r="219" spans="1:57" ht="12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</row>
    <row r="220" spans="1:57" ht="12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</row>
    <row r="221" spans="1:57" ht="12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</row>
    <row r="222" spans="1:57" ht="12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</row>
    <row r="223" spans="1:57" ht="12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</row>
    <row r="224" spans="1:57" ht="12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</row>
    <row r="225" spans="1:57" ht="12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</row>
    <row r="226" spans="1:57" ht="12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</row>
    <row r="227" spans="1:57" ht="12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</row>
    <row r="228" spans="1:57" ht="12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</row>
    <row r="229" spans="1:57" ht="12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</row>
    <row r="230" spans="1:57" ht="12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</row>
    <row r="231" spans="1:57" ht="12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</row>
    <row r="232" spans="1:57" ht="12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</row>
    <row r="233" spans="1:57" ht="12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</row>
    <row r="234" spans="1:57" ht="12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</row>
    <row r="235" spans="1:57" ht="12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</row>
    <row r="236" spans="1:57" ht="12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</row>
    <row r="237" spans="1:57" ht="12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</row>
    <row r="238" spans="1:57" ht="12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</row>
    <row r="239" spans="1:57" ht="12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</row>
    <row r="240" spans="1:57" ht="12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</row>
    <row r="241" spans="1:57" ht="12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</row>
    <row r="242" spans="1:57" ht="12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</row>
    <row r="243" spans="1:57" ht="12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</row>
    <row r="244" spans="1:57" ht="12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</row>
    <row r="245" spans="1:57" ht="12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</row>
    <row r="246" spans="1:57" ht="12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</row>
    <row r="247" spans="1:57" ht="12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</row>
    <row r="248" spans="1:57" ht="12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</row>
    <row r="249" spans="1:57" ht="12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</row>
    <row r="250" spans="1:57" ht="12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</row>
    <row r="251" spans="1:57" ht="12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</row>
    <row r="252" spans="1:57" ht="12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</row>
    <row r="253" spans="1:57" ht="12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</row>
    <row r="254" spans="1:57" ht="12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</row>
    <row r="255" spans="1:57" ht="12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</row>
    <row r="256" spans="1:57" ht="12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</row>
    <row r="257" spans="1:57" ht="12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</row>
    <row r="258" spans="1:57" ht="12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</row>
    <row r="259" spans="1:57" ht="15.75" customHeight="1" x14ac:dyDescent="0.25"/>
    <row r="260" spans="1:57" ht="15.75" customHeight="1" x14ac:dyDescent="0.25"/>
    <row r="261" spans="1:57" ht="15.75" customHeight="1" x14ac:dyDescent="0.25"/>
    <row r="262" spans="1:57" ht="15.75" customHeight="1" x14ac:dyDescent="0.25"/>
    <row r="263" spans="1:57" ht="15.75" customHeight="1" x14ac:dyDescent="0.25"/>
    <row r="264" spans="1:57" ht="15.75" customHeight="1" x14ac:dyDescent="0.25"/>
    <row r="265" spans="1:57" ht="15.75" customHeight="1" x14ac:dyDescent="0.25"/>
    <row r="266" spans="1:57" ht="15.75" customHeight="1" x14ac:dyDescent="0.25"/>
    <row r="267" spans="1:57" ht="15.75" customHeight="1" x14ac:dyDescent="0.25"/>
    <row r="268" spans="1:57" ht="15.75" customHeight="1" x14ac:dyDescent="0.25"/>
    <row r="269" spans="1:57" ht="15.75" customHeight="1" x14ac:dyDescent="0.25"/>
    <row r="270" spans="1:57" ht="15.75" customHeight="1" x14ac:dyDescent="0.25"/>
    <row r="271" spans="1:57" ht="15.75" customHeight="1" x14ac:dyDescent="0.25"/>
    <row r="272" spans="1:57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0">
    <mergeCell ref="B55:C55"/>
    <mergeCell ref="B56:C56"/>
    <mergeCell ref="B57:C57"/>
    <mergeCell ref="B59:C59"/>
    <mergeCell ref="B60:C60"/>
    <mergeCell ref="B61:C61"/>
    <mergeCell ref="A36:C36"/>
    <mergeCell ref="A37:C37"/>
    <mergeCell ref="A38:C38"/>
    <mergeCell ref="A39:C39"/>
    <mergeCell ref="A42:C42"/>
    <mergeCell ref="A43:C43"/>
    <mergeCell ref="B44:C44"/>
    <mergeCell ref="B50:C50"/>
    <mergeCell ref="B51:C51"/>
    <mergeCell ref="B45:C45"/>
    <mergeCell ref="B46:C46"/>
    <mergeCell ref="B47:C47"/>
    <mergeCell ref="B48:C48"/>
    <mergeCell ref="B49:C49"/>
    <mergeCell ref="A99:C99"/>
    <mergeCell ref="A100:C100"/>
    <mergeCell ref="A101:C101"/>
    <mergeCell ref="A102:C102"/>
    <mergeCell ref="A103:C103"/>
    <mergeCell ref="A104:C104"/>
    <mergeCell ref="A105:C105"/>
    <mergeCell ref="C75:C77"/>
    <mergeCell ref="K99:K105"/>
    <mergeCell ref="A75:A77"/>
    <mergeCell ref="B75:B77"/>
    <mergeCell ref="O99:O105"/>
    <mergeCell ref="W99:W105"/>
    <mergeCell ref="AE99:AE105"/>
    <mergeCell ref="AM99:AM105"/>
    <mergeCell ref="AU99:AU102"/>
    <mergeCell ref="B58:C58"/>
    <mergeCell ref="B62:C62"/>
    <mergeCell ref="B65:C65"/>
    <mergeCell ref="C72:AU72"/>
    <mergeCell ref="P75:V75"/>
    <mergeCell ref="X75:AD75"/>
    <mergeCell ref="AE75:AE77"/>
    <mergeCell ref="AF75:AL75"/>
    <mergeCell ref="AM75:AM77"/>
    <mergeCell ref="AV7:AV9"/>
    <mergeCell ref="AW7:AW9"/>
    <mergeCell ref="BE7:BE9"/>
    <mergeCell ref="K7:K9"/>
    <mergeCell ref="AN75:AT75"/>
    <mergeCell ref="C73:AU73"/>
    <mergeCell ref="C74:AU74"/>
    <mergeCell ref="D75:J75"/>
    <mergeCell ref="K75:K77"/>
    <mergeCell ref="L75:N75"/>
    <mergeCell ref="O75:O77"/>
    <mergeCell ref="W75:W77"/>
    <mergeCell ref="AU75:AU77"/>
    <mergeCell ref="B63:C63"/>
    <mergeCell ref="B64:C64"/>
    <mergeCell ref="B66:C66"/>
    <mergeCell ref="B67:C67"/>
    <mergeCell ref="A69:B71"/>
    <mergeCell ref="A72:B72"/>
    <mergeCell ref="A73:B73"/>
    <mergeCell ref="A74:B74"/>
    <mergeCell ref="B52:C52"/>
    <mergeCell ref="B53:C53"/>
    <mergeCell ref="B54:C54"/>
    <mergeCell ref="A6:B6"/>
    <mergeCell ref="A7:A9"/>
    <mergeCell ref="B7:B9"/>
    <mergeCell ref="C7:C9"/>
    <mergeCell ref="D7:J7"/>
    <mergeCell ref="O7:O9"/>
    <mergeCell ref="A35:C35"/>
    <mergeCell ref="A1:B3"/>
    <mergeCell ref="C1:BE3"/>
    <mergeCell ref="A4:B4"/>
    <mergeCell ref="C4:BE4"/>
    <mergeCell ref="A5:B5"/>
    <mergeCell ref="C5:BE5"/>
    <mergeCell ref="C6:BE6"/>
    <mergeCell ref="L7:N7"/>
    <mergeCell ref="P7:V7"/>
    <mergeCell ref="X7:AD7"/>
    <mergeCell ref="AF7:AL7"/>
    <mergeCell ref="AN7:AT7"/>
    <mergeCell ref="AX7:BD7"/>
    <mergeCell ref="W7:W9"/>
    <mergeCell ref="AE7:AE9"/>
    <mergeCell ref="AM7:AM9"/>
    <mergeCell ref="AU7:AU9"/>
    <mergeCell ref="K35:K39"/>
    <mergeCell ref="O35:O39"/>
    <mergeCell ref="W35:W39"/>
    <mergeCell ref="AE35:AE39"/>
    <mergeCell ref="AM35:AM39"/>
    <mergeCell ref="AU35:AU38"/>
    <mergeCell ref="BE35:BE38"/>
  </mergeCells>
  <pageMargins left="0.25" right="0.25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G995"/>
  <sheetViews>
    <sheetView topLeftCell="A28" zoomScale="112" zoomScaleNormal="112" workbookViewId="0">
      <selection activeCell="A61" sqref="A61:C61"/>
    </sheetView>
  </sheetViews>
  <sheetFormatPr baseColWidth="10" defaultColWidth="14.42578125" defaultRowHeight="15" customHeight="1" x14ac:dyDescent="0.25"/>
  <cols>
    <col min="1" max="1" width="5" customWidth="1"/>
    <col min="2" max="2" width="38.85546875" customWidth="1"/>
    <col min="3" max="3" width="18" customWidth="1"/>
    <col min="4" max="4" width="5.140625" hidden="1" customWidth="1"/>
    <col min="5" max="5" width="5" hidden="1" customWidth="1"/>
    <col min="6" max="11" width="4.42578125" hidden="1" customWidth="1"/>
    <col min="12" max="12" width="4.7109375" hidden="1" customWidth="1"/>
    <col min="13" max="13" width="5.140625" hidden="1" customWidth="1"/>
    <col min="14" max="14" width="3.5703125" bestFit="1" customWidth="1"/>
    <col min="15" max="16" width="3" bestFit="1" customWidth="1"/>
    <col min="17" max="17" width="2.85546875" bestFit="1" customWidth="1"/>
    <col min="18" max="18" width="6.140625" customWidth="1"/>
    <col min="19" max="21" width="5.7109375" customWidth="1"/>
    <col min="22" max="22" width="5.85546875" customWidth="1"/>
    <col min="23" max="23" width="5.5703125" customWidth="1"/>
    <col min="24" max="24" width="6" customWidth="1"/>
    <col min="25" max="25" width="5" customWidth="1"/>
    <col min="26" max="27" width="5.7109375" customWidth="1"/>
    <col min="28" max="28" width="6.140625" customWidth="1"/>
    <col min="29" max="29" width="5.7109375" customWidth="1"/>
    <col min="30" max="30" width="6.42578125" customWidth="1"/>
    <col min="31" max="31" width="6.140625" customWidth="1"/>
    <col min="32" max="32" width="5.7109375" customWidth="1"/>
    <col min="33" max="33" width="5" customWidth="1"/>
    <col min="34" max="34" width="5.7109375" customWidth="1"/>
    <col min="35" max="35" width="6.140625" customWidth="1"/>
    <col min="36" max="37" width="5.85546875" customWidth="1"/>
    <col min="38" max="38" width="5.28515625" customWidth="1"/>
    <col min="39" max="39" width="5.5703125" customWidth="1"/>
    <col min="40" max="40" width="5.28515625" customWidth="1"/>
    <col min="41" max="41" width="5" customWidth="1"/>
    <col min="42" max="43" width="5.5703125" customWidth="1"/>
    <col min="44" max="44" width="5.28515625" customWidth="1"/>
    <col min="45" max="45" width="5" customWidth="1"/>
    <col min="46" max="46" width="5.42578125" customWidth="1"/>
    <col min="47" max="47" width="5" customWidth="1"/>
    <col min="48" max="48" width="5.42578125" customWidth="1"/>
    <col min="49" max="49" width="5" customWidth="1"/>
    <col min="50" max="50" width="15.28515625" hidden="1" customWidth="1"/>
    <col min="51" max="51" width="17.5703125" hidden="1" customWidth="1"/>
    <col min="52" max="52" width="15.28515625" hidden="1" customWidth="1"/>
    <col min="53" max="59" width="14.42578125" hidden="1" customWidth="1"/>
  </cols>
  <sheetData>
    <row r="1" spans="1:59" ht="13.5" customHeight="1" x14ac:dyDescent="0.25">
      <c r="A1" s="301"/>
      <c r="B1" s="302"/>
      <c r="C1" s="306" t="s">
        <v>0</v>
      </c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08"/>
      <c r="AR1" s="314" t="s">
        <v>98</v>
      </c>
      <c r="AS1" s="292"/>
      <c r="AT1" s="292"/>
      <c r="AU1" s="292"/>
      <c r="AV1" s="292"/>
      <c r="AW1" s="294"/>
      <c r="AX1" s="49"/>
      <c r="AY1" s="49"/>
      <c r="AZ1" s="49"/>
    </row>
    <row r="2" spans="1:59" ht="13.5" customHeight="1" x14ac:dyDescent="0.25">
      <c r="A2" s="303"/>
      <c r="B2" s="304"/>
      <c r="C2" s="309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04"/>
      <c r="AR2" s="314" t="s">
        <v>99</v>
      </c>
      <c r="AS2" s="292"/>
      <c r="AT2" s="292"/>
      <c r="AU2" s="292"/>
      <c r="AV2" s="292"/>
      <c r="AW2" s="294"/>
      <c r="AX2" s="49"/>
      <c r="AY2" s="49"/>
      <c r="AZ2" s="49"/>
    </row>
    <row r="3" spans="1:59" ht="13.5" customHeight="1" x14ac:dyDescent="0.25">
      <c r="A3" s="305"/>
      <c r="B3" s="290"/>
      <c r="C3" s="311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3"/>
      <c r="AR3" s="315" t="s">
        <v>100</v>
      </c>
      <c r="AS3" s="316"/>
      <c r="AT3" s="316"/>
      <c r="AU3" s="316"/>
      <c r="AV3" s="316"/>
      <c r="AW3" s="317"/>
      <c r="AX3" s="49"/>
      <c r="AY3" s="49"/>
      <c r="AZ3" s="49"/>
    </row>
    <row r="4" spans="1:59" ht="18.75" customHeight="1" x14ac:dyDescent="0.25">
      <c r="A4" s="291" t="s">
        <v>1</v>
      </c>
      <c r="B4" s="292"/>
      <c r="C4" s="293" t="s">
        <v>101</v>
      </c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2"/>
      <c r="AF4" s="292"/>
      <c r="AG4" s="292"/>
      <c r="AH4" s="292"/>
      <c r="AI4" s="292"/>
      <c r="AJ4" s="292"/>
      <c r="AK4" s="292"/>
      <c r="AL4" s="292"/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4"/>
      <c r="AY4" s="84"/>
      <c r="AZ4" s="85"/>
    </row>
    <row r="5" spans="1:59" ht="18.75" customHeight="1" x14ac:dyDescent="0.25">
      <c r="A5" s="330" t="s">
        <v>3</v>
      </c>
      <c r="B5" s="294"/>
      <c r="C5" s="331" t="s">
        <v>4</v>
      </c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289"/>
      <c r="AQ5" s="289"/>
      <c r="AR5" s="289"/>
      <c r="AS5" s="289"/>
      <c r="AT5" s="289"/>
      <c r="AU5" s="289"/>
      <c r="AV5" s="289"/>
      <c r="AW5" s="290"/>
      <c r="AX5" s="49"/>
      <c r="AY5" s="49"/>
      <c r="AZ5" s="49"/>
    </row>
    <row r="6" spans="1:59" ht="18.75" customHeight="1" thickBot="1" x14ac:dyDescent="0.3">
      <c r="A6" s="332" t="s">
        <v>5</v>
      </c>
      <c r="B6" s="333"/>
      <c r="C6" s="334">
        <v>46143</v>
      </c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4"/>
      <c r="AX6" s="49"/>
      <c r="AY6" s="49"/>
      <c r="AZ6" s="49"/>
    </row>
    <row r="7" spans="1:59" ht="15" customHeight="1" thickBot="1" x14ac:dyDescent="0.3">
      <c r="A7" s="335" t="s">
        <v>6</v>
      </c>
      <c r="B7" s="336" t="s">
        <v>7</v>
      </c>
      <c r="C7" s="337" t="s">
        <v>8</v>
      </c>
      <c r="D7" s="86"/>
      <c r="E7" s="337" t="s">
        <v>10</v>
      </c>
      <c r="F7" s="338" t="s">
        <v>9</v>
      </c>
      <c r="G7" s="292"/>
      <c r="H7" s="292"/>
      <c r="I7" s="292"/>
      <c r="J7" s="292"/>
      <c r="K7" s="292"/>
      <c r="L7" s="294"/>
      <c r="M7" s="295" t="s">
        <v>10</v>
      </c>
      <c r="N7" s="298"/>
      <c r="O7" s="298"/>
      <c r="P7" s="299"/>
      <c r="Q7" s="285" t="s">
        <v>10</v>
      </c>
      <c r="R7" s="300" t="s">
        <v>11</v>
      </c>
      <c r="S7" s="289"/>
      <c r="T7" s="289"/>
      <c r="U7" s="289"/>
      <c r="V7" s="289"/>
      <c r="W7" s="289"/>
      <c r="X7" s="290"/>
      <c r="Y7" s="285" t="s">
        <v>10</v>
      </c>
      <c r="Z7" s="288" t="s">
        <v>12</v>
      </c>
      <c r="AA7" s="289"/>
      <c r="AB7" s="289"/>
      <c r="AC7" s="289"/>
      <c r="AD7" s="289"/>
      <c r="AE7" s="289"/>
      <c r="AF7" s="290"/>
      <c r="AG7" s="285" t="s">
        <v>10</v>
      </c>
      <c r="AH7" s="288" t="s">
        <v>13</v>
      </c>
      <c r="AI7" s="289"/>
      <c r="AJ7" s="289"/>
      <c r="AK7" s="289"/>
      <c r="AL7" s="289"/>
      <c r="AM7" s="289"/>
      <c r="AN7" s="290"/>
      <c r="AO7" s="285" t="s">
        <v>10</v>
      </c>
      <c r="AP7" s="288" t="s">
        <v>14</v>
      </c>
      <c r="AQ7" s="289"/>
      <c r="AR7" s="289"/>
      <c r="AS7" s="289"/>
      <c r="AT7" s="289"/>
      <c r="AU7" s="289"/>
      <c r="AV7" s="290"/>
      <c r="AW7" s="278" t="s">
        <v>10</v>
      </c>
      <c r="AX7" s="281" t="s">
        <v>15</v>
      </c>
      <c r="AY7" s="284" t="s">
        <v>16</v>
      </c>
      <c r="AZ7" s="300" t="s">
        <v>14</v>
      </c>
      <c r="BA7" s="289"/>
      <c r="BB7" s="289"/>
      <c r="BC7" s="289"/>
      <c r="BD7" s="289"/>
      <c r="BE7" s="289"/>
      <c r="BF7" s="290"/>
      <c r="BG7" s="285" t="s">
        <v>10</v>
      </c>
    </row>
    <row r="8" spans="1:59" ht="12.75" customHeight="1" thickBot="1" x14ac:dyDescent="0.3">
      <c r="A8" s="282"/>
      <c r="B8" s="286"/>
      <c r="C8" s="296"/>
      <c r="D8" s="1" t="s">
        <v>23</v>
      </c>
      <c r="E8" s="296"/>
      <c r="F8" s="1" t="s">
        <v>18</v>
      </c>
      <c r="G8" s="1" t="s">
        <v>19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296"/>
      <c r="N8" s="196" t="s">
        <v>21</v>
      </c>
      <c r="O8" s="191" t="s">
        <v>22</v>
      </c>
      <c r="P8" s="191" t="s">
        <v>23</v>
      </c>
      <c r="Q8" s="286"/>
      <c r="R8" s="1" t="s">
        <v>18</v>
      </c>
      <c r="S8" s="1" t="s">
        <v>19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286"/>
      <c r="Z8" s="1" t="s">
        <v>18</v>
      </c>
      <c r="AA8" s="1" t="s">
        <v>19</v>
      </c>
      <c r="AB8" s="1" t="s">
        <v>19</v>
      </c>
      <c r="AC8" s="1" t="s">
        <v>20</v>
      </c>
      <c r="AD8" s="1" t="s">
        <v>21</v>
      </c>
      <c r="AE8" s="1" t="s">
        <v>22</v>
      </c>
      <c r="AF8" s="1" t="s">
        <v>23</v>
      </c>
      <c r="AG8" s="286"/>
      <c r="AH8" s="2" t="s">
        <v>18</v>
      </c>
      <c r="AI8" s="1" t="s">
        <v>19</v>
      </c>
      <c r="AJ8" s="1" t="s">
        <v>19</v>
      </c>
      <c r="AK8" s="1" t="s">
        <v>20</v>
      </c>
      <c r="AL8" s="1" t="s">
        <v>21</v>
      </c>
      <c r="AM8" s="1" t="s">
        <v>22</v>
      </c>
      <c r="AN8" s="1" t="s">
        <v>23</v>
      </c>
      <c r="AO8" s="286"/>
      <c r="AP8" s="1" t="s">
        <v>18</v>
      </c>
      <c r="AQ8" s="1" t="s">
        <v>19</v>
      </c>
      <c r="AR8" s="1" t="s">
        <v>19</v>
      </c>
      <c r="AS8" s="1" t="s">
        <v>20</v>
      </c>
      <c r="AT8" s="1" t="s">
        <v>21</v>
      </c>
      <c r="AU8" s="1" t="s">
        <v>22</v>
      </c>
      <c r="AV8" s="1" t="s">
        <v>23</v>
      </c>
      <c r="AW8" s="279"/>
      <c r="AX8" s="282"/>
      <c r="AY8" s="279"/>
      <c r="AZ8" s="1" t="s">
        <v>18</v>
      </c>
      <c r="BA8" s="1" t="s">
        <v>19</v>
      </c>
      <c r="BB8" s="1" t="s">
        <v>19</v>
      </c>
      <c r="BC8" s="1" t="s">
        <v>20</v>
      </c>
      <c r="BD8" s="1" t="s">
        <v>21</v>
      </c>
      <c r="BE8" s="1" t="s">
        <v>22</v>
      </c>
      <c r="BF8" s="1" t="s">
        <v>23</v>
      </c>
      <c r="BG8" s="286"/>
    </row>
    <row r="9" spans="1:59" ht="12.75" customHeight="1" x14ac:dyDescent="0.25">
      <c r="A9" s="283"/>
      <c r="B9" s="287"/>
      <c r="C9" s="297"/>
      <c r="D9" s="1">
        <v>1</v>
      </c>
      <c r="E9" s="297"/>
      <c r="F9" s="1">
        <v>23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1</v>
      </c>
      <c r="M9" s="297"/>
      <c r="N9" s="203">
        <v>1</v>
      </c>
      <c r="O9" s="202">
        <v>2</v>
      </c>
      <c r="P9" s="202">
        <v>3</v>
      </c>
      <c r="Q9" s="287"/>
      <c r="R9" s="1">
        <v>4</v>
      </c>
      <c r="S9" s="1">
        <v>5</v>
      </c>
      <c r="T9" s="1">
        <v>6</v>
      </c>
      <c r="U9" s="1">
        <v>7</v>
      </c>
      <c r="V9" s="1">
        <v>8</v>
      </c>
      <c r="W9" s="1">
        <v>9</v>
      </c>
      <c r="X9" s="1">
        <v>10</v>
      </c>
      <c r="Y9" s="287"/>
      <c r="Z9" s="1">
        <v>11</v>
      </c>
      <c r="AA9" s="1">
        <v>12</v>
      </c>
      <c r="AB9" s="1">
        <v>13</v>
      </c>
      <c r="AC9" s="1">
        <v>14</v>
      </c>
      <c r="AD9" s="1">
        <v>15</v>
      </c>
      <c r="AE9" s="1">
        <v>16</v>
      </c>
      <c r="AF9" s="1">
        <v>17</v>
      </c>
      <c r="AG9" s="287"/>
      <c r="AH9" s="2">
        <v>18</v>
      </c>
      <c r="AI9" s="1">
        <v>19</v>
      </c>
      <c r="AJ9" s="1">
        <v>20</v>
      </c>
      <c r="AK9" s="1">
        <v>21</v>
      </c>
      <c r="AL9" s="1">
        <v>22</v>
      </c>
      <c r="AM9" s="1">
        <v>23</v>
      </c>
      <c r="AN9" s="1">
        <v>24</v>
      </c>
      <c r="AO9" s="287"/>
      <c r="AP9" s="1">
        <v>25</v>
      </c>
      <c r="AQ9" s="1">
        <v>26</v>
      </c>
      <c r="AR9" s="1">
        <v>27</v>
      </c>
      <c r="AS9" s="1">
        <v>28</v>
      </c>
      <c r="AT9" s="1">
        <v>29</v>
      </c>
      <c r="AU9" s="1">
        <v>30</v>
      </c>
      <c r="AV9" s="1">
        <v>31</v>
      </c>
      <c r="AW9" s="280"/>
      <c r="AX9" s="283"/>
      <c r="AY9" s="280"/>
      <c r="AZ9" s="1">
        <v>25</v>
      </c>
      <c r="BA9" s="1">
        <v>26</v>
      </c>
      <c r="BB9" s="1">
        <v>27</v>
      </c>
      <c r="BC9" s="1">
        <v>28</v>
      </c>
      <c r="BD9" s="1">
        <v>29</v>
      </c>
      <c r="BE9" s="1">
        <v>30</v>
      </c>
      <c r="BF9" s="1">
        <v>31</v>
      </c>
      <c r="BG9" s="287"/>
    </row>
    <row r="10" spans="1:59" ht="19.5" customHeight="1" x14ac:dyDescent="0.25">
      <c r="A10" s="87">
        <v>1</v>
      </c>
      <c r="B10" s="88" t="s">
        <v>102</v>
      </c>
      <c r="C10" s="89">
        <v>1113686642</v>
      </c>
      <c r="D10" s="90" t="s">
        <v>103</v>
      </c>
      <c r="E10" s="91">
        <f t="shared" ref="E10:E34" si="0">COUNTIF(D10,"D")*12+COUNTIF(D10,"D1")*11+COUNTIF(D10,"N")*12+COUNTIF(D10,"N1")*11+COUNTIF(D10,"Din")*12+COUNTIF(D10,"D1in")*11+COUNTIF(D10,"Nin")*12+COUNTIF(D10,"N1in")*11+COUNTIF(D10,"DN")*24+COUNTIF(D10,"TN")*18+COUNTIF(D10,"NM")*18+COUNTIF(D10,"DA")*9.5+COUNTIF(D10,"DA")*9+COUNTIF(D10,"D2")*11+COUNTIF(D10,"DE")*12</f>
        <v>11</v>
      </c>
      <c r="F10" s="92" t="s">
        <v>23</v>
      </c>
      <c r="G10" s="92" t="s">
        <v>18</v>
      </c>
      <c r="H10" s="92" t="s">
        <v>18</v>
      </c>
      <c r="I10" s="92" t="s">
        <v>29</v>
      </c>
      <c r="J10" s="92" t="s">
        <v>23</v>
      </c>
      <c r="K10" s="92" t="s">
        <v>18</v>
      </c>
      <c r="L10" s="92" t="s">
        <v>23</v>
      </c>
      <c r="M10" s="110">
        <v>44</v>
      </c>
      <c r="N10" s="205" t="s">
        <v>27</v>
      </c>
      <c r="O10" s="205" t="s">
        <v>26</v>
      </c>
      <c r="P10" s="205" t="s">
        <v>18</v>
      </c>
      <c r="Q10" s="128">
        <f t="shared" ref="Q10:Q16" si="1">COUNTIF(N10:P10,"D")*12+COUNTIF(N10:P10,"D1")*11+COUNTIF(N10:P10,"N")*12+COUNTIF(N10:P10,"N1")*11+COUNTIF(N10:P10,"Din")*12+COUNTIF(N10:P10,"D1in")*11+COUNTIF(N10:P10,"Nin")*12+COUNTIF(N10:P10,"N1in")*11+COUNTIF(N10:P10,"M8")*8+COUNTIF(N10:P10,"T8")*8+COUNTIF(N10:P10,"N8")*8</f>
        <v>20</v>
      </c>
      <c r="R10" s="94" t="s">
        <v>26</v>
      </c>
      <c r="S10" s="94" t="s">
        <v>18</v>
      </c>
      <c r="T10" s="94" t="s">
        <v>23</v>
      </c>
      <c r="U10" s="94" t="s">
        <v>29</v>
      </c>
      <c r="V10" s="94" t="s">
        <v>26</v>
      </c>
      <c r="W10" s="94" t="s">
        <v>18</v>
      </c>
      <c r="X10" s="94" t="s">
        <v>18</v>
      </c>
      <c r="Y10" s="95">
        <f t="shared" ref="Y10:Y11" si="2">COUNTIF(R10:X10,"D")*12+COUNTIF(R10:X10,"D1")*11+COUNTIF(R10:X10,"N")*12+COUNTIF(R10:X10,"N1")*11+COUNTIF(R10:X10,"Din")*12+COUNTIF(R10:X10,"D1in")*11+COUNTIF(R10:X10,"Nin")*12+COUNTIF(R10:X10,"N1in")*11+COUNTIF(R10:X10,"M8")*8+COUNTIF(R10:X10,"T8")*8+COUNTIF(R10:X10,"N8")*8</f>
        <v>44</v>
      </c>
      <c r="Z10" s="94" t="s">
        <v>25</v>
      </c>
      <c r="AA10" s="94" t="s">
        <v>18</v>
      </c>
      <c r="AB10" s="215" t="s">
        <v>23</v>
      </c>
      <c r="AC10" s="94" t="s">
        <v>26</v>
      </c>
      <c r="AD10" s="94" t="s">
        <v>18</v>
      </c>
      <c r="AE10" s="94" t="s">
        <v>18</v>
      </c>
      <c r="AF10" s="94" t="s">
        <v>26</v>
      </c>
      <c r="AG10" s="95">
        <f t="shared" ref="AG10:AG23" si="3">COUNTIF(Z10:AF10,"D")*12+COUNTIF(Z10:AF10,"D1")*11+COUNTIF(Z10:AF10,"N")*12+COUNTIF(Z10:AF10,"N1")*11+COUNTIF(Z10:AF10,"Din")*12+COUNTIF(Z10:AF10,"D1in")*11+COUNTIF(Z10:AF10,"Nin")*12+COUNTIF(Z10:AF10,"N1in")*11+COUNTIF(Z10:AF10,"M8")*8+COUNTIF(Z10:AF10,"T8")*8+COUNTIF(Z10:AF10,"N8")*8</f>
        <v>44</v>
      </c>
      <c r="AH10" s="94" t="s">
        <v>18</v>
      </c>
      <c r="AI10" s="215" t="s">
        <v>23</v>
      </c>
      <c r="AJ10" s="94" t="s">
        <v>25</v>
      </c>
      <c r="AK10" s="90" t="s">
        <v>18</v>
      </c>
      <c r="AL10" s="216" t="s">
        <v>23</v>
      </c>
      <c r="AM10" s="90" t="s">
        <v>26</v>
      </c>
      <c r="AN10" s="90" t="s">
        <v>18</v>
      </c>
      <c r="AO10" s="95">
        <f t="shared" ref="AO10:AO23" si="4">COUNTIF(AH10:AN10,"D")*12+COUNTIF(AH10:AN10,"D1")*11+COUNTIF(AH10:AN10,"N")*12+COUNTIF(AH10:AN10,"N1")*11+COUNTIF(AH10:AN10,"Din")*12+COUNTIF(AH10:AN10,"D1in")*11+COUNTIF(AH10:AN10,"Nin")*12+COUNTIF(AH10:AN10,"N1in")*11+COUNTIF(AH10:AN10,"M8")*8+COUNTIF(AH10:AN10,"T8")*8+COUNTIF(AH10:AN10,"N8")*8</f>
        <v>44</v>
      </c>
      <c r="AP10" s="211" t="s">
        <v>23</v>
      </c>
      <c r="AQ10" s="90" t="s">
        <v>29</v>
      </c>
      <c r="AR10" s="90" t="s">
        <v>18</v>
      </c>
      <c r="AS10" s="90" t="s">
        <v>18</v>
      </c>
      <c r="AT10" s="224" t="s">
        <v>36</v>
      </c>
      <c r="AU10" s="94" t="s">
        <v>18</v>
      </c>
      <c r="AV10" s="94" t="s">
        <v>26</v>
      </c>
      <c r="AW10" s="95">
        <f t="shared" ref="AW10:AW23" si="5">COUNTIF(AP10:AV10,"D")*12+COUNTIF(AP10:AV10,"D1")*11+COUNTIF(AP10:AV10,"N")*12+COUNTIF(AP10:AV10,"N1")*11+COUNTIF(AP10:AV10,"Din")*12+COUNTIF(AP10:AV10,"D1in")*11+COUNTIF(AP10:AV10,"Nin")*12+COUNTIF(AP10:AV10,"N1in")*11+COUNTIF(AP10:AV10,"M8")*8+COUNTIF(AP10:AV10,"T8")*8+COUNTIF(AP10:AV10,"N8")*8</f>
        <v>32</v>
      </c>
      <c r="AX10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10,"D")+COUNTIF(K10,"D1")+COUNTIF(K10,"N")+COUNTIF(K10,"N1")+COUNTIF(K10,"Din")+COUNTIF(K10,"D1in")+COUNTIF(K10,"Nin")+COUNTIF(K10,"N1in")+COUNTIF(K10,"DN")+COUNTIF(K10,"TN")+COUNTIF(K10,"NM")+COUNTIF(K10,"DA")+COUNTIF(K10,"DA")+COUNTIF(O10,"D")+COUNTIF(O10,"D1")+COUNTIF(O10,"N")+COUNTIF(O10,"N1")+COUNTIF(O10,"Din")+COUNTIF(O10,"D1in")+COUNTIF(O10,"Nin")+COUNTIF(O10,"N1in")+COUNTIF(O10,"DN")+COUNTIF(O10,"TN")+COUNTIF(O10,"NM")+COUNTIF(O10,"DA")+COUNTIF(O10,"DA")+COUNTIF(W10,"D")+COUNTIF(W10,"D1")+COUNTIF(W10,"N")+COUNTIF(W10,"N1")+COUNTIF(W10,"Din")+COUNTIF(W10,"D1in")+COUNTIF(W10,"Nin")+COUNTIF(W10,"N1in")+COUNTIF(W10,"DN")+COUNTIF(W10,"TN")+COUNTIF(W10,"NM")+COUNTIF(W10,"DA")+COUNTIF(W10,"DA")+COUNTIF(AU10,"D")+COUNTIF(AU10,"D1")+COUNTIF(AU10,"N")+COUNTIF(AU10,"N1")+COUNTIF(AU10,"Din")+COUNTIF(AU10,"D1in")+COUNTIF(AU10,"Nin")+COUNTIF(AU10,"N1in")+COUNTIF(AU10,"DN")+COUNTIF(AU10,"TN")+COUNTIF(AU10,"NM")+COUNTIF(AU10,"DA")+COUNTIF(AU10,"DA")</f>
        <v>#REF!</v>
      </c>
      <c r="AY10" s="75" t="e">
        <f>COUNTIF(D10,"D")+COUNTIF(D10,"D1")+COUNTIF(D10,"N")+COUNTIF(D10,"N1")+COUNTIF(D10,"Din")+COUNTIF(D10,"D1in")+COUNTIF(D10,"Nin")+COUNTIF(D10,"N1in")+COUNTIF(D10,"DN")+COUNTIF(D10,"TN")+COUNTIF(D10,"NM")+COUNTIF(D10,"DA")+COUNTIF(D10,"DA")+COUNTIF(L10,"D")+COUNTIF(L10,"D1")+COUNTIF(L10,"N")+COUNTIF(L10,"N1")+COUNTIF(L10,"Din")+COUNTIF(L10,"D1in")+COUNTIF(L10,"Nin")+COUNTIF(L10,"N1in")+COUNTIF(L10,"DN")+COUNTIF(L10,"TN")+COUNTIF(L10,"NM")+COUNTIF(L10,"DA")+COUNTIF(L10,"DA")+COUNTIF(P10,"D")+COUNTIF(P10,"D1")+COUNTIF(P10,"N")+COUNTIF(P10,"N1")+COUNTIF(P10,"Din")+COUNTIF(P10,"D1in")+COUNTIF(P10,"Nin")+COUNTIF(P10,"N1in")+COUNTIF(P10,"DN")+COUNTIF(P10,"TN")+COUNTIF(P10,"NM")+COUNTIF(P10,"DA")+COUNTIF(P10,"DA")+COUNTIF(X10,"D")+COUNTIF(X10,"D1")+COUNTIF(X10,"N")+COUNTIF(X10,"N1")+COUNTIF(X10,"Din")+COUNTIF(X10,"D1in")+COUNTIF(X10,"Nin")+COUNTIF(X10,"N1in")+COUNTIF(X10,"DN")+COUNTIF(X10,"TN")+COUNTIF(X10,"NM")+COUNTIF(X10,"DA")+COUNTIF(X10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0" s="96">
        <f t="shared" ref="AZ10:AZ35" si="6">COUNTIF(D10:AU10,"N")+COUNTIF(D10:AU10,"N1")</f>
        <v>6</v>
      </c>
    </row>
    <row r="11" spans="1:59" ht="19.5" customHeight="1" x14ac:dyDescent="0.25">
      <c r="A11" s="87">
        <v>2</v>
      </c>
      <c r="B11" s="88" t="s">
        <v>104</v>
      </c>
      <c r="C11" s="89">
        <v>29506561</v>
      </c>
      <c r="D11" s="90" t="s">
        <v>18</v>
      </c>
      <c r="E11" s="91">
        <f t="shared" si="0"/>
        <v>0</v>
      </c>
      <c r="F11" s="92" t="s">
        <v>18</v>
      </c>
      <c r="G11" s="92" t="s">
        <v>18</v>
      </c>
      <c r="H11" s="92" t="s">
        <v>23</v>
      </c>
      <c r="I11" s="92" t="s">
        <v>26</v>
      </c>
      <c r="J11" s="92" t="s">
        <v>18</v>
      </c>
      <c r="K11" s="92" t="s">
        <v>29</v>
      </c>
      <c r="L11" s="92" t="s">
        <v>26</v>
      </c>
      <c r="M11" s="110">
        <v>44</v>
      </c>
      <c r="N11" s="205" t="s">
        <v>18</v>
      </c>
      <c r="O11" s="205" t="s">
        <v>26</v>
      </c>
      <c r="P11" s="205" t="s">
        <v>18</v>
      </c>
      <c r="Q11" s="128">
        <f t="shared" si="1"/>
        <v>12</v>
      </c>
      <c r="R11" s="94" t="s">
        <v>18</v>
      </c>
      <c r="S11" s="94" t="s">
        <v>23</v>
      </c>
      <c r="T11" s="94" t="s">
        <v>25</v>
      </c>
      <c r="U11" s="207" t="s">
        <v>18</v>
      </c>
      <c r="V11" s="94" t="s">
        <v>23</v>
      </c>
      <c r="W11" s="94" t="s">
        <v>18</v>
      </c>
      <c r="X11" s="208" t="s">
        <v>26</v>
      </c>
      <c r="Y11" s="97">
        <f t="shared" si="2"/>
        <v>44</v>
      </c>
      <c r="Z11" s="94" t="s">
        <v>18</v>
      </c>
      <c r="AA11" s="94" t="s">
        <v>18</v>
      </c>
      <c r="AB11" s="94" t="s">
        <v>23</v>
      </c>
      <c r="AC11" s="94" t="s">
        <v>26</v>
      </c>
      <c r="AD11" s="94" t="s">
        <v>18</v>
      </c>
      <c r="AE11" s="94" t="s">
        <v>29</v>
      </c>
      <c r="AF11" s="94" t="s">
        <v>23</v>
      </c>
      <c r="AG11" s="95">
        <f t="shared" si="3"/>
        <v>44</v>
      </c>
      <c r="AH11" s="94" t="s">
        <v>18</v>
      </c>
      <c r="AI11" s="94" t="s">
        <v>23</v>
      </c>
      <c r="AJ11" s="94" t="s">
        <v>25</v>
      </c>
      <c r="AK11" s="94" t="s">
        <v>18</v>
      </c>
      <c r="AL11" s="94" t="s">
        <v>23</v>
      </c>
      <c r="AM11" s="94" t="s">
        <v>26</v>
      </c>
      <c r="AN11" s="94" t="s">
        <v>18</v>
      </c>
      <c r="AO11" s="95">
        <f t="shared" si="4"/>
        <v>44</v>
      </c>
      <c r="AP11" s="94" t="s">
        <v>18</v>
      </c>
      <c r="AQ11" s="94" t="s">
        <v>18</v>
      </c>
      <c r="AR11" s="94" t="s">
        <v>27</v>
      </c>
      <c r="AS11" s="94" t="s">
        <v>26</v>
      </c>
      <c r="AT11" s="94" t="s">
        <v>18</v>
      </c>
      <c r="AU11" s="94" t="s">
        <v>23</v>
      </c>
      <c r="AV11" s="94" t="s">
        <v>26</v>
      </c>
      <c r="AW11" s="95">
        <f t="shared" si="5"/>
        <v>44</v>
      </c>
      <c r="AX11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11,"D")+COUNTIF(K11,"D1")+COUNTIF(K11,"N")+COUNTIF(K11,"N1")+COUNTIF(K11,"Din")+COUNTIF(K11,"D1in")+COUNTIF(K11,"Nin")+COUNTIF(K11,"N1in")+COUNTIF(K11,"DN")+COUNTIF(K11,"TN")+COUNTIF(K11,"NM")+COUNTIF(K11,"DA")+COUNTIF(K11,"DA")+COUNTIF(O11,"D")+COUNTIF(O11,"D1")+COUNTIF(O11,"N")+COUNTIF(O11,"N1")+COUNTIF(O11,"Din")+COUNTIF(O11,"D1in")+COUNTIF(O11,"Nin")+COUNTIF(O11,"N1in")+COUNTIF(O11,"DN")+COUNTIF(O11,"TN")+COUNTIF(O11,"NM")+COUNTIF(O11,"DA")+COUNTIF(O11,"DA")+COUNTIF(W11,"D")+COUNTIF(W11,"D1")+COUNTIF(W11,"N")+COUNTIF(W11,"N1")+COUNTIF(W11,"Din")+COUNTIF(W11,"D1in")+COUNTIF(W11,"Nin")+COUNTIF(W11,"N1in")+COUNTIF(W11,"DN")+COUNTIF(W11,"TN")+COUNTIF(W11,"NM")+COUNTIF(W11,"DA")+COUNTIF(W11,"DA")+COUNTIF(AU11,"D")+COUNTIF(AU11,"D1")+COUNTIF(AU11,"N")+COUNTIF(AU11,"N1")+COUNTIF(AU11,"Din")+COUNTIF(AU11,"D1in")+COUNTIF(AU11,"Nin")+COUNTIF(AU11,"N1in")+COUNTIF(AU11,"DN")+COUNTIF(AU11,"TN")+COUNTIF(AU11,"NM")+COUNTIF(AU11,"DA")+COUNTIF(AU11,"DA")</f>
        <v>#REF!</v>
      </c>
      <c r="AY11" s="75" t="e">
        <f>COUNTIF(D11,"D")+COUNTIF(D11,"D1")+COUNTIF(D11,"N")+COUNTIF(D11,"N1")+COUNTIF(D11,"Din")+COUNTIF(D11,"D1in")+COUNTIF(D11,"Nin")+COUNTIF(D11,"N1in")+COUNTIF(D11,"DN")+COUNTIF(D11,"TN")+COUNTIF(D11,"NM")+COUNTIF(D11,"DA")+COUNTIF(D11,"DA")+COUNTIF(L11,"D")+COUNTIF(L11,"D1")+COUNTIF(L11,"N")+COUNTIF(L11,"N1")+COUNTIF(L11,"Din")+COUNTIF(L11,"D1in")+COUNTIF(L11,"Nin")+COUNTIF(L11,"N1in")+COUNTIF(L11,"DN")+COUNTIF(L11,"TN")+COUNTIF(L11,"NM")+COUNTIF(L11,"DA")+COUNTIF(L11,"DA")+COUNTIF(P11,"D")+COUNTIF(P11,"D1")+COUNTIF(P11,"N")+COUNTIF(P11,"N1")+COUNTIF(P11,"Din")+COUNTIF(P11,"D1in")+COUNTIF(P11,"Nin")+COUNTIF(P11,"N1in")+COUNTIF(P11,"DN")+COUNTIF(P11,"TN")+COUNTIF(P11,"NM")+COUNTIF(P11,"DA")+COUNTIF(P11,"DA")+COUNTIF(X11,"D")+COUNTIF(X11,"D1")+COUNTIF(X11,"N")+COUNTIF(X11,"N1")+COUNTIF(X11,"Din")+COUNTIF(X11,"D1in")+COUNTIF(X11,"Nin")+COUNTIF(X11,"N1in")+COUNTIF(X11,"DN")+COUNTIF(X11,"TN")+COUNTIF(X11,"NM")+COUNTIF(X11,"DA")+COUNTIF(X11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1" s="58">
        <f t="shared" si="6"/>
        <v>7</v>
      </c>
    </row>
    <row r="12" spans="1:59" ht="19.5" customHeight="1" x14ac:dyDescent="0.25">
      <c r="A12" s="87">
        <v>3</v>
      </c>
      <c r="B12" s="88" t="s">
        <v>105</v>
      </c>
      <c r="C12" s="89">
        <v>66762912</v>
      </c>
      <c r="D12" s="98" t="s">
        <v>26</v>
      </c>
      <c r="E12" s="91">
        <f t="shared" si="0"/>
        <v>12</v>
      </c>
      <c r="F12" s="92" t="s">
        <v>18</v>
      </c>
      <c r="G12" s="92" t="s">
        <v>23</v>
      </c>
      <c r="H12" s="92" t="s">
        <v>23</v>
      </c>
      <c r="I12" s="92" t="s">
        <v>18</v>
      </c>
      <c r="J12" s="92" t="s">
        <v>29</v>
      </c>
      <c r="K12" s="99" t="s">
        <v>36</v>
      </c>
      <c r="L12" s="92" t="s">
        <v>18</v>
      </c>
      <c r="M12" s="110">
        <v>32</v>
      </c>
      <c r="N12" s="205" t="s">
        <v>23</v>
      </c>
      <c r="O12" s="205" t="s">
        <v>18</v>
      </c>
      <c r="P12" s="205" t="s">
        <v>23</v>
      </c>
      <c r="Q12" s="128">
        <f t="shared" si="1"/>
        <v>24</v>
      </c>
      <c r="R12" s="90" t="s">
        <v>23</v>
      </c>
      <c r="S12" s="90" t="s">
        <v>18</v>
      </c>
      <c r="T12" s="90" t="s">
        <v>23</v>
      </c>
      <c r="U12" s="90" t="s">
        <v>23</v>
      </c>
      <c r="V12" s="90" t="s">
        <v>18</v>
      </c>
      <c r="W12" s="90" t="s">
        <v>29</v>
      </c>
      <c r="X12" s="90" t="s">
        <v>18</v>
      </c>
      <c r="Y12" s="93">
        <v>44</v>
      </c>
      <c r="Z12" s="90" t="s">
        <v>23</v>
      </c>
      <c r="AA12" s="216" t="s">
        <v>23</v>
      </c>
      <c r="AB12" s="90" t="s">
        <v>18</v>
      </c>
      <c r="AC12" s="217" t="s">
        <v>18</v>
      </c>
      <c r="AD12" s="90" t="s">
        <v>29</v>
      </c>
      <c r="AE12" s="90" t="s">
        <v>18</v>
      </c>
      <c r="AF12" s="90" t="s">
        <v>23</v>
      </c>
      <c r="AG12" s="95">
        <f t="shared" si="3"/>
        <v>44</v>
      </c>
      <c r="AH12" s="90" t="s">
        <v>18</v>
      </c>
      <c r="AI12" s="90" t="s">
        <v>23</v>
      </c>
      <c r="AJ12" s="216" t="s">
        <v>23</v>
      </c>
      <c r="AK12" s="90" t="s">
        <v>18</v>
      </c>
      <c r="AL12" s="90" t="s">
        <v>23</v>
      </c>
      <c r="AM12" s="90" t="s">
        <v>29</v>
      </c>
      <c r="AN12" s="90" t="s">
        <v>18</v>
      </c>
      <c r="AO12" s="95">
        <f t="shared" si="4"/>
        <v>44</v>
      </c>
      <c r="AP12" s="212" t="s">
        <v>23</v>
      </c>
      <c r="AQ12" s="211" t="s">
        <v>23</v>
      </c>
      <c r="AR12" s="90" t="s">
        <v>18</v>
      </c>
      <c r="AS12" s="90" t="s">
        <v>18</v>
      </c>
      <c r="AT12" s="90" t="s">
        <v>29</v>
      </c>
      <c r="AU12" s="90" t="s">
        <v>18</v>
      </c>
      <c r="AV12" s="90" t="s">
        <v>23</v>
      </c>
      <c r="AW12" s="95">
        <f t="shared" si="5"/>
        <v>44</v>
      </c>
      <c r="AX12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12,"D")+COUNTIF(K12,"D1")+COUNTIF(K12,"N")+COUNTIF(K12,"N1")+COUNTIF(K12,"Din")+COUNTIF(K12,"D1in")+COUNTIF(K12,"Nin")+COUNTIF(K12,"N1in")+COUNTIF(K12,"DN")+COUNTIF(K12,"TN")+COUNTIF(K12,"NM")+COUNTIF(K12,"DA")+COUNTIF(K12,"DA")+COUNTIF(O12,"D")+COUNTIF(O12,"D1")+COUNTIF(O12,"N")+COUNTIF(O12,"N1")+COUNTIF(O12,"Din")+COUNTIF(O12,"D1in")+COUNTIF(O12,"Nin")+COUNTIF(O12,"N1in")+COUNTIF(O12,"DN")+COUNTIF(O12,"TN")+COUNTIF(O12,"NM")+COUNTIF(O12,"DA")+COUNTIF(O12,"DA")+COUNTIF(W12,"D")+COUNTIF(W12,"D1")+COUNTIF(W12,"N")+COUNTIF(W12,"N1")+COUNTIF(W12,"Din")+COUNTIF(W12,"D1in")+COUNTIF(W12,"Nin")+COUNTIF(W12,"N1in")+COUNTIF(W12,"DN")+COUNTIF(W12,"TN")+COUNTIF(W12,"NM")+COUNTIF(W12,"DA")+COUNTIF(W12,"DA")+COUNTIF(AU12,"D")+COUNTIF(AU12,"D1")+COUNTIF(AU12,"N")+COUNTIF(AU12,"N1")+COUNTIF(AU12,"Din")+COUNTIF(AU12,"D1in")+COUNTIF(AU12,"Nin")+COUNTIF(AU12,"N1in")+COUNTIF(AU12,"DN")+COUNTIF(AU12,"TN")+COUNTIF(AU12,"NM")+COUNTIF(AU12,"DA")+COUNTIF(AU12,"DA")</f>
        <v>#REF!</v>
      </c>
      <c r="AY12" s="75" t="e">
        <f>COUNTIF(D12,"D")+COUNTIF(D12,"D1")+COUNTIF(D12,"N")+COUNTIF(D12,"N1")+COUNTIF(D12,"Din")+COUNTIF(D12,"D1in")+COUNTIF(D12,"Nin")+COUNTIF(D12,"N1in")+COUNTIF(D12,"DN")+COUNTIF(D12,"TN")+COUNTIF(D12,"NM")+COUNTIF(D12,"DA")+COUNTIF(D12,"DA")+COUNTIF(L12,"D")+COUNTIF(L12,"D1")+COUNTIF(L12,"N")+COUNTIF(L12,"N1")+COUNTIF(L12,"Din")+COUNTIF(L12,"D1in")+COUNTIF(L12,"Nin")+COUNTIF(L12,"N1in")+COUNTIF(L12,"DN")+COUNTIF(L12,"TN")+COUNTIF(L12,"NM")+COUNTIF(L12,"DA")+COUNTIF(L12,"DA")+COUNTIF(P12,"D")+COUNTIF(P12,"D1")+COUNTIF(P12,"N")+COUNTIF(P12,"N1")+COUNTIF(P12,"Din")+COUNTIF(P12,"D1in")+COUNTIF(P12,"Nin")+COUNTIF(P12,"N1in")+COUNTIF(P12,"DN")+COUNTIF(P12,"TN")+COUNTIF(P12,"NM")+COUNTIF(P12,"DA")+COUNTIF(P12,"DA")+COUNTIF(X12,"D")+COUNTIF(X12,"D1")+COUNTIF(X12,"N")+COUNTIF(X12,"N1")+COUNTIF(X12,"Din")+COUNTIF(X12,"D1in")+COUNTIF(X12,"Nin")+COUNTIF(X12,"N1in")+COUNTIF(X12,"DN")+COUNTIF(X12,"TN")+COUNTIF(X12,"NM")+COUNTIF(X12,"DA")+COUNTIF(X12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2" s="58">
        <f t="shared" si="6"/>
        <v>1</v>
      </c>
    </row>
    <row r="13" spans="1:59" ht="18" customHeight="1" x14ac:dyDescent="0.25">
      <c r="A13" s="87">
        <v>4</v>
      </c>
      <c r="B13" s="88" t="s">
        <v>106</v>
      </c>
      <c r="C13" s="89">
        <v>1113655616</v>
      </c>
      <c r="D13" s="90" t="s">
        <v>18</v>
      </c>
      <c r="E13" s="91">
        <f t="shared" si="0"/>
        <v>0</v>
      </c>
      <c r="F13" s="92" t="s">
        <v>26</v>
      </c>
      <c r="G13" s="92" t="s">
        <v>18</v>
      </c>
      <c r="H13" s="92" t="s">
        <v>26</v>
      </c>
      <c r="I13" s="92" t="s">
        <v>18</v>
      </c>
      <c r="J13" s="92" t="s">
        <v>23</v>
      </c>
      <c r="K13" s="92" t="s">
        <v>18</v>
      </c>
      <c r="L13" s="92" t="s">
        <v>25</v>
      </c>
      <c r="M13" s="110">
        <v>44</v>
      </c>
      <c r="N13" s="205" t="s">
        <v>18</v>
      </c>
      <c r="O13" s="205" t="s">
        <v>26</v>
      </c>
      <c r="P13" s="205" t="s">
        <v>18</v>
      </c>
      <c r="Q13" s="200">
        <f t="shared" si="1"/>
        <v>12</v>
      </c>
      <c r="R13" s="100" t="s">
        <v>23</v>
      </c>
      <c r="S13" s="100" t="s">
        <v>26</v>
      </c>
      <c r="T13" s="100" t="s">
        <v>18</v>
      </c>
      <c r="U13" s="100" t="s">
        <v>18</v>
      </c>
      <c r="V13" s="100" t="s">
        <v>25</v>
      </c>
      <c r="W13" s="100" t="s">
        <v>18</v>
      </c>
      <c r="X13" s="100" t="s">
        <v>23</v>
      </c>
      <c r="Y13" s="101">
        <f t="shared" ref="Y13:Y16" si="7">COUNTIF(R13:X13,"D")*12+COUNTIF(R13:X13,"D1")*11+COUNTIF(R13:X13,"N")*12+COUNTIF(R13:X13,"N1")*11+COUNTIF(R13:X13,"Din")*12+COUNTIF(R13:X13,"D1in")*11+COUNTIF(R13:X13,"Nin")*12+COUNTIF(R13:X13,"N1in")*11+COUNTIF(R13:X13,"M8")*8+COUNTIF(R13:X13,"T8")*8+COUNTIF(R13:X13,"N8")*8</f>
        <v>44</v>
      </c>
      <c r="Z13" s="100" t="s">
        <v>18</v>
      </c>
      <c r="AA13" s="100" t="s">
        <v>23</v>
      </c>
      <c r="AB13" s="100" t="s">
        <v>23</v>
      </c>
      <c r="AC13" s="100" t="s">
        <v>29</v>
      </c>
      <c r="AD13" s="100" t="s">
        <v>18</v>
      </c>
      <c r="AE13" s="100" t="s">
        <v>18</v>
      </c>
      <c r="AF13" s="100" t="s">
        <v>26</v>
      </c>
      <c r="AG13" s="95">
        <f t="shared" si="3"/>
        <v>44</v>
      </c>
      <c r="AH13" s="100" t="s">
        <v>18</v>
      </c>
      <c r="AI13" s="100" t="s">
        <v>18</v>
      </c>
      <c r="AJ13" s="100" t="s">
        <v>23</v>
      </c>
      <c r="AK13" s="100" t="s">
        <v>29</v>
      </c>
      <c r="AL13" s="90" t="s">
        <v>26</v>
      </c>
      <c r="AM13" s="100" t="s">
        <v>18</v>
      </c>
      <c r="AN13" s="218" t="s">
        <v>23</v>
      </c>
      <c r="AO13" s="95">
        <f t="shared" si="4"/>
        <v>44</v>
      </c>
      <c r="AP13" s="100" t="s">
        <v>26</v>
      </c>
      <c r="AQ13" s="100" t="s">
        <v>18</v>
      </c>
      <c r="AR13" s="100" t="s">
        <v>23</v>
      </c>
      <c r="AS13" s="100" t="s">
        <v>18</v>
      </c>
      <c r="AT13" s="100" t="s">
        <v>27</v>
      </c>
      <c r="AU13" s="100" t="s">
        <v>26</v>
      </c>
      <c r="AV13" s="100" t="s">
        <v>18</v>
      </c>
      <c r="AW13" s="95">
        <f t="shared" si="5"/>
        <v>44</v>
      </c>
      <c r="AX13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13,"D")+COUNTIF(K13,"D1")+COUNTIF(K13,"N")+COUNTIF(K13,"N1")+COUNTIF(K13,"Din")+COUNTIF(K13,"D1in")+COUNTIF(K13,"Nin")+COUNTIF(K13,"N1in")+COUNTIF(K13,"DN")+COUNTIF(K13,"TN")+COUNTIF(K13,"NM")+COUNTIF(K13,"DA")+COUNTIF(K13,"DA")+COUNTIF(O13,"D")+COUNTIF(O13,"D1")+COUNTIF(O13,"N")+COUNTIF(O13,"N1")+COUNTIF(O13,"Din")+COUNTIF(O13,"D1in")+COUNTIF(O13,"Nin")+COUNTIF(O13,"N1in")+COUNTIF(O13,"DN")+COUNTIF(O13,"TN")+COUNTIF(O13,"NM")+COUNTIF(O13,"DA")+COUNTIF(O13,"DA")+COUNTIF(W13,"D")+COUNTIF(W13,"D1")+COUNTIF(W13,"N")+COUNTIF(W13,"N1")+COUNTIF(W13,"Din")+COUNTIF(W13,"D1in")+COUNTIF(W13,"Nin")+COUNTIF(W13,"N1in")+COUNTIF(W13,"DN")+COUNTIF(W13,"TN")+COUNTIF(W13,"NM")+COUNTIF(W13,"DA")+COUNTIF(W13,"DA")+COUNTIF(AU13,"D")+COUNTIF(AU13,"D1")+COUNTIF(AU13,"N")+COUNTIF(AU13,"N1")+COUNTIF(AU13,"Din")+COUNTIF(AU13,"D1in")+COUNTIF(AU13,"Nin")+COUNTIF(AU13,"N1in")+COUNTIF(AU13,"DN")+COUNTIF(AU13,"TN")+COUNTIF(AU13,"NM")+COUNTIF(AU13,"DA")+COUNTIF(AU13,"DA")</f>
        <v>#REF!</v>
      </c>
      <c r="AY13" s="75" t="e">
        <f>COUNTIF(D13,"D")+COUNTIF(D13,"D1")+COUNTIF(D13,"N")+COUNTIF(D13,"N1")+COUNTIF(D13,"Din")+COUNTIF(D13,"D1in")+COUNTIF(D13,"Nin")+COUNTIF(D13,"N1in")+COUNTIF(D13,"DN")+COUNTIF(D13,"TN")+COUNTIF(D13,"NM")+COUNTIF(D13,"DA")+COUNTIF(D13,"DA")+COUNTIF(L13,"D")+COUNTIF(L13,"D1")+COUNTIF(L13,"N")+COUNTIF(L13,"N1")+COUNTIF(L13,"Din")+COUNTIF(L13,"D1in")+COUNTIF(L13,"Nin")+COUNTIF(L13,"N1in")+COUNTIF(L13,"DN")+COUNTIF(L13,"TN")+COUNTIF(L13,"NM")+COUNTIF(L13,"DA")+COUNTIF(L13,"DA")+COUNTIF(P13,"D")+COUNTIF(P13,"D1")+COUNTIF(P13,"N")+COUNTIF(P13,"N1")+COUNTIF(P13,"Din")+COUNTIF(P13,"D1in")+COUNTIF(P13,"Nin")+COUNTIF(P13,"N1in")+COUNTIF(P13,"DN")+COUNTIF(P13,"TN")+COUNTIF(P13,"NM")+COUNTIF(P13,"DA")+COUNTIF(P13,"DA")+COUNTIF(X13,"D")+COUNTIF(X13,"D1")+COUNTIF(X13,"N")+COUNTIF(X13,"N1")+COUNTIF(X13,"Din")+COUNTIF(X13,"D1in")+COUNTIF(X13,"Nin")+COUNTIF(X13,"N1in")+COUNTIF(X13,"DN")+COUNTIF(X13,"TN")+COUNTIF(X13,"NM")+COUNTIF(X13,"DA")+COUNTIF(X13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3" s="58">
        <f t="shared" si="6"/>
        <v>8</v>
      </c>
    </row>
    <row r="14" spans="1:59" ht="19.5" customHeight="1" x14ac:dyDescent="0.25">
      <c r="A14" s="87">
        <v>5</v>
      </c>
      <c r="B14" s="88" t="s">
        <v>107</v>
      </c>
      <c r="C14" s="89">
        <v>29679331</v>
      </c>
      <c r="D14" s="90" t="s">
        <v>18</v>
      </c>
      <c r="E14" s="91">
        <f t="shared" si="0"/>
        <v>0</v>
      </c>
      <c r="F14" s="92" t="s">
        <v>18</v>
      </c>
      <c r="G14" s="92" t="s">
        <v>23</v>
      </c>
      <c r="H14" s="92" t="s">
        <v>48</v>
      </c>
      <c r="I14" s="92" t="s">
        <v>26</v>
      </c>
      <c r="J14" s="92" t="s">
        <v>18</v>
      </c>
      <c r="K14" s="92" t="s">
        <v>23</v>
      </c>
      <c r="L14" s="92" t="s">
        <v>18</v>
      </c>
      <c r="M14" s="110">
        <v>36</v>
      </c>
      <c r="N14" s="205" t="s">
        <v>21</v>
      </c>
      <c r="O14" s="205" t="s">
        <v>21</v>
      </c>
      <c r="P14" s="205" t="s">
        <v>21</v>
      </c>
      <c r="Q14" s="128">
        <f t="shared" si="1"/>
        <v>0</v>
      </c>
      <c r="R14" s="209" t="s">
        <v>21</v>
      </c>
      <c r="S14" s="209" t="s">
        <v>21</v>
      </c>
      <c r="T14" s="209" t="s">
        <v>21</v>
      </c>
      <c r="U14" s="209" t="s">
        <v>21</v>
      </c>
      <c r="V14" s="209" t="s">
        <v>21</v>
      </c>
      <c r="W14" s="209" t="s">
        <v>21</v>
      </c>
      <c r="X14" s="209" t="s">
        <v>21</v>
      </c>
      <c r="Y14" s="95">
        <f t="shared" si="7"/>
        <v>0</v>
      </c>
      <c r="Z14" s="209" t="s">
        <v>21</v>
      </c>
      <c r="AA14" s="94" t="s">
        <v>26</v>
      </c>
      <c r="AB14" s="94" t="s">
        <v>18</v>
      </c>
      <c r="AC14" s="94" t="s">
        <v>23</v>
      </c>
      <c r="AD14" s="94" t="s">
        <v>29</v>
      </c>
      <c r="AE14" s="94" t="s">
        <v>26</v>
      </c>
      <c r="AF14" s="94" t="s">
        <v>18</v>
      </c>
      <c r="AG14" s="95">
        <f t="shared" si="3"/>
        <v>44</v>
      </c>
      <c r="AH14" s="90" t="s">
        <v>23</v>
      </c>
      <c r="AI14" s="90" t="s">
        <v>26</v>
      </c>
      <c r="AJ14" s="90" t="s">
        <v>18</v>
      </c>
      <c r="AK14" s="90" t="s">
        <v>23</v>
      </c>
      <c r="AL14" s="90" t="s">
        <v>25</v>
      </c>
      <c r="AM14" s="90" t="s">
        <v>18</v>
      </c>
      <c r="AN14" s="90" t="s">
        <v>18</v>
      </c>
      <c r="AO14" s="95">
        <f t="shared" si="4"/>
        <v>44</v>
      </c>
      <c r="AP14" s="90" t="s">
        <v>23</v>
      </c>
      <c r="AQ14" s="90" t="s">
        <v>26</v>
      </c>
      <c r="AR14" s="90" t="s">
        <v>18</v>
      </c>
      <c r="AS14" s="90" t="s">
        <v>26</v>
      </c>
      <c r="AT14" s="90" t="s">
        <v>18</v>
      </c>
      <c r="AU14" s="90" t="s">
        <v>25</v>
      </c>
      <c r="AV14" s="90" t="s">
        <v>18</v>
      </c>
      <c r="AW14" s="95">
        <f t="shared" si="5"/>
        <v>44</v>
      </c>
      <c r="AX14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14,"D")+COUNTIF(K14,"D1")+COUNTIF(K14,"N")+COUNTIF(K14,"N1")+COUNTIF(K14,"Din")+COUNTIF(K14,"D1in")+COUNTIF(K14,"Nin")+COUNTIF(K14,"N1in")+COUNTIF(K14,"DN")+COUNTIF(K14,"TN")+COUNTIF(K14,"NM")+COUNTIF(K14,"DA")+COUNTIF(K14,"DA")+COUNTIF(O14,"D")+COUNTIF(O14,"D1")+COUNTIF(O14,"N")+COUNTIF(O14,"N1")+COUNTIF(O14,"Din")+COUNTIF(O14,"D1in")+COUNTIF(O14,"Nin")+COUNTIF(O14,"N1in")+COUNTIF(O14,"DN")+COUNTIF(O14,"TN")+COUNTIF(O14,"NM")+COUNTIF(O14,"DA")+COUNTIF(O14,"DA")+COUNTIF(W14,"D")+COUNTIF(W14,"D1")+COUNTIF(W14,"N")+COUNTIF(W14,"N1")+COUNTIF(W14,"Din")+COUNTIF(W14,"D1in")+COUNTIF(W14,"Nin")+COUNTIF(W14,"N1in")+COUNTIF(W14,"DN")+COUNTIF(W14,"TN")+COUNTIF(W14,"NM")+COUNTIF(W14,"DA")+COUNTIF(W14,"DA")+COUNTIF(AU14,"D")+COUNTIF(AU14,"D1")+COUNTIF(AU14,"N")+COUNTIF(AU14,"N1")+COUNTIF(AU14,"Din")+COUNTIF(AU14,"D1in")+COUNTIF(AU14,"Nin")+COUNTIF(AU14,"N1in")+COUNTIF(AU14,"DN")+COUNTIF(AU14,"TN")+COUNTIF(AU14,"NM")+COUNTIF(AU14,"DA")+COUNTIF(AU14,"DA")</f>
        <v>#REF!</v>
      </c>
      <c r="AY14" s="75" t="e">
        <f>COUNTIF(D14,"D")+COUNTIF(D14,"D1")+COUNTIF(D14,"N")+COUNTIF(D14,"N1")+COUNTIF(D14,"Din")+COUNTIF(D14,"D1in")+COUNTIF(D14,"Nin")+COUNTIF(D14,"N1in")+COUNTIF(D14,"DN")+COUNTIF(D14,"TN")+COUNTIF(D14,"NM")+COUNTIF(D14,"DA")+COUNTIF(D14,"DA")+COUNTIF(L14,"D")+COUNTIF(L14,"D1")+COUNTIF(L14,"N")+COUNTIF(L14,"N1")+COUNTIF(L14,"Din")+COUNTIF(L14,"D1in")+COUNTIF(L14,"Nin")+COUNTIF(L14,"N1in")+COUNTIF(L14,"DN")+COUNTIF(L14,"TN")+COUNTIF(L14,"NM")+COUNTIF(L14,"DA")+COUNTIF(L14,"DA")+COUNTIF(P14,"D")+COUNTIF(P14,"D1")+COUNTIF(P14,"N")+COUNTIF(P14,"N1")+COUNTIF(P14,"Din")+COUNTIF(P14,"D1in")+COUNTIF(P14,"Nin")+COUNTIF(P14,"N1in")+COUNTIF(P14,"DN")+COUNTIF(P14,"TN")+COUNTIF(P14,"NM")+COUNTIF(P14,"DA")+COUNTIF(P14,"DA")+COUNTIF(X14,"D")+COUNTIF(X14,"D1")+COUNTIF(X14,"N")+COUNTIF(X14,"N1")+COUNTIF(X14,"Din")+COUNTIF(X14,"D1in")+COUNTIF(X14,"Nin")+COUNTIF(X14,"N1in")+COUNTIF(X14,"DN")+COUNTIF(X14,"TN")+COUNTIF(X14,"NM")+COUNTIF(X14,"DA")+COUNTIF(X14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4" s="58">
        <f t="shared" si="6"/>
        <v>6</v>
      </c>
    </row>
    <row r="15" spans="1:59" ht="18.75" customHeight="1" x14ac:dyDescent="0.25">
      <c r="A15" s="87">
        <v>6</v>
      </c>
      <c r="B15" s="88" t="s">
        <v>108</v>
      </c>
      <c r="C15" s="89">
        <v>1113683637</v>
      </c>
      <c r="D15" s="90" t="s">
        <v>18</v>
      </c>
      <c r="E15" s="91">
        <f t="shared" si="0"/>
        <v>0</v>
      </c>
      <c r="F15" s="92" t="s">
        <v>18</v>
      </c>
      <c r="G15" s="92" t="s">
        <v>18</v>
      </c>
      <c r="H15" s="92" t="s">
        <v>26</v>
      </c>
      <c r="I15" s="92" t="s">
        <v>18</v>
      </c>
      <c r="J15" s="92" t="s">
        <v>23</v>
      </c>
      <c r="K15" s="92" t="s">
        <v>29</v>
      </c>
      <c r="L15" s="92" t="s">
        <v>26</v>
      </c>
      <c r="M15" s="110">
        <v>44</v>
      </c>
      <c r="N15" s="205" t="s">
        <v>26</v>
      </c>
      <c r="O15" s="205" t="s">
        <v>18</v>
      </c>
      <c r="P15" s="205" t="s">
        <v>29</v>
      </c>
      <c r="Q15" s="128">
        <f t="shared" si="1"/>
        <v>20</v>
      </c>
      <c r="R15" s="94" t="s">
        <v>18</v>
      </c>
      <c r="S15" s="90" t="s">
        <v>23</v>
      </c>
      <c r="T15" s="90" t="s">
        <v>18</v>
      </c>
      <c r="U15" s="90" t="s">
        <v>23</v>
      </c>
      <c r="V15" s="90" t="s">
        <v>23</v>
      </c>
      <c r="W15" s="90" t="s">
        <v>18</v>
      </c>
      <c r="X15" s="90" t="s">
        <v>18</v>
      </c>
      <c r="Y15" s="95">
        <f t="shared" si="7"/>
        <v>36</v>
      </c>
      <c r="Z15" s="90" t="s">
        <v>29</v>
      </c>
      <c r="AA15" s="90" t="s">
        <v>29</v>
      </c>
      <c r="AB15" s="90" t="s">
        <v>18</v>
      </c>
      <c r="AC15" s="90" t="s">
        <v>23</v>
      </c>
      <c r="AD15" s="90" t="s">
        <v>23</v>
      </c>
      <c r="AE15" s="90" t="s">
        <v>26</v>
      </c>
      <c r="AF15" s="90" t="s">
        <v>18</v>
      </c>
      <c r="AG15" s="95">
        <f t="shared" si="3"/>
        <v>52</v>
      </c>
      <c r="AH15" s="90" t="s">
        <v>18</v>
      </c>
      <c r="AI15" s="90" t="s">
        <v>25</v>
      </c>
      <c r="AJ15" s="90" t="s">
        <v>18</v>
      </c>
      <c r="AK15" s="90" t="s">
        <v>23</v>
      </c>
      <c r="AL15" s="90" t="s">
        <v>26</v>
      </c>
      <c r="AM15" s="90" t="s">
        <v>18</v>
      </c>
      <c r="AN15" s="90" t="s">
        <v>23</v>
      </c>
      <c r="AO15" s="95">
        <f t="shared" si="4"/>
        <v>44</v>
      </c>
      <c r="AP15" s="90" t="s">
        <v>23</v>
      </c>
      <c r="AQ15" s="90" t="s">
        <v>41</v>
      </c>
      <c r="AR15" s="90" t="s">
        <v>41</v>
      </c>
      <c r="AS15" s="90" t="s">
        <v>41</v>
      </c>
      <c r="AT15" s="90" t="s">
        <v>23</v>
      </c>
      <c r="AU15" s="90" t="s">
        <v>25</v>
      </c>
      <c r="AV15" s="103" t="s">
        <v>18</v>
      </c>
      <c r="AW15" s="95">
        <f t="shared" si="5"/>
        <v>32</v>
      </c>
      <c r="AX15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15,"D")+COUNTIF(K15,"D1")+COUNTIF(K15,"N")+COUNTIF(K15,"N1")+COUNTIF(K15,"Din")+COUNTIF(K15,"D1in")+COUNTIF(K15,"Nin")+COUNTIF(K15,"N1in")+COUNTIF(K15,"DN")+COUNTIF(K15,"TN")+COUNTIF(K15,"NM")+COUNTIF(K15,"DA")+COUNTIF(K15,"DA")+COUNTIF(O15,"D")+COUNTIF(O15,"D1")+COUNTIF(O15,"N")+COUNTIF(O15,"N1")+COUNTIF(O15,"Din")+COUNTIF(O15,"D1in")+COUNTIF(O15,"Nin")+COUNTIF(O15,"N1in")+COUNTIF(O15,"DN")+COUNTIF(O15,"TN")+COUNTIF(O15,"NM")+COUNTIF(O15,"DA")+COUNTIF(O15,"DA")+COUNTIF(W15,"D")+COUNTIF(W15,"D1")+COUNTIF(W15,"N")+COUNTIF(W15,"N1")+COUNTIF(W15,"Din")+COUNTIF(W15,"D1in")+COUNTIF(W15,"Nin")+COUNTIF(W15,"N1in")+COUNTIF(W15,"DN")+COUNTIF(W15,"TN")+COUNTIF(W15,"NM")+COUNTIF(W15,"DA")+COUNTIF(W15,"DA")+COUNTIF(AU15,"D")+COUNTIF(AU15,"D1")+COUNTIF(AU15,"N")+COUNTIF(AU15,"N1")+COUNTIF(AU15,"Din")+COUNTIF(AU15,"D1in")+COUNTIF(AU15,"Nin")+COUNTIF(AU15,"N1in")+COUNTIF(AU15,"DN")+COUNTIF(AU15,"TN")+COUNTIF(AU15,"NM")+COUNTIF(AU15,"DA")+COUNTIF(AU15,"DA")</f>
        <v>#REF!</v>
      </c>
      <c r="AY15" s="75" t="e">
        <f>COUNTIF(D15,"D")+COUNTIF(D15,"D1")+COUNTIF(D15,"N")+COUNTIF(D15,"N1")+COUNTIF(D15,"Din")+COUNTIF(D15,"D1in")+COUNTIF(D15,"Nin")+COUNTIF(D15,"N1in")+COUNTIF(D15,"DN")+COUNTIF(D15,"TN")+COUNTIF(D15,"NM")+COUNTIF(D15,"DA")+COUNTIF(D15,"DA")+COUNTIF(L15,"D")+COUNTIF(L15,"D1")+COUNTIF(L15,"N")+COUNTIF(L15,"N1")+COUNTIF(L15,"Din")+COUNTIF(L15,"D1in")+COUNTIF(L15,"Nin")+COUNTIF(L15,"N1in")+COUNTIF(L15,"DN")+COUNTIF(L15,"TN")+COUNTIF(L15,"NM")+COUNTIF(L15,"DA")+COUNTIF(L15,"DA")+COUNTIF(P15,"D")+COUNTIF(P15,"D1")+COUNTIF(P15,"N")+COUNTIF(P15,"N1")+COUNTIF(P15,"Din")+COUNTIF(P15,"D1in")+COUNTIF(P15,"Nin")+COUNTIF(P15,"N1in")+COUNTIF(P15,"DN")+COUNTIF(P15,"TN")+COUNTIF(P15,"NM")+COUNTIF(P15,"DA")+COUNTIF(P15,"DA")+COUNTIF(X15,"D")+COUNTIF(X15,"D1")+COUNTIF(X15,"N")+COUNTIF(X15,"N1")+COUNTIF(X15,"Din")+COUNTIF(X15,"D1in")+COUNTIF(X15,"Nin")+COUNTIF(X15,"N1in")+COUNTIF(X15,"DN")+COUNTIF(X15,"TN")+COUNTIF(X15,"NM")+COUNTIF(X15,"DA")+COUNTIF(X15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5" s="58">
        <f t="shared" si="6"/>
        <v>5</v>
      </c>
    </row>
    <row r="16" spans="1:59" ht="19.5" customHeight="1" x14ac:dyDescent="0.25">
      <c r="A16" s="87">
        <v>7</v>
      </c>
      <c r="B16" s="88" t="s">
        <v>109</v>
      </c>
      <c r="C16" s="89">
        <v>1130683874</v>
      </c>
      <c r="D16" s="90" t="s">
        <v>18</v>
      </c>
      <c r="E16" s="91">
        <f t="shared" si="0"/>
        <v>0</v>
      </c>
      <c r="F16" s="92" t="s">
        <v>18</v>
      </c>
      <c r="G16" s="92" t="s">
        <v>23</v>
      </c>
      <c r="H16" s="92" t="s">
        <v>27</v>
      </c>
      <c r="I16" s="92" t="s">
        <v>18</v>
      </c>
      <c r="J16" s="92" t="s">
        <v>23</v>
      </c>
      <c r="K16" s="92" t="s">
        <v>26</v>
      </c>
      <c r="L16" s="92" t="s">
        <v>18</v>
      </c>
      <c r="M16" s="110">
        <v>44</v>
      </c>
      <c r="N16" s="205" t="s">
        <v>25</v>
      </c>
      <c r="O16" s="205" t="s">
        <v>18</v>
      </c>
      <c r="P16" s="205" t="s">
        <v>18</v>
      </c>
      <c r="Q16" s="198">
        <f t="shared" si="1"/>
        <v>8</v>
      </c>
      <c r="R16" s="94" t="s">
        <v>23</v>
      </c>
      <c r="S16" s="94" t="s">
        <v>25</v>
      </c>
      <c r="T16" s="94" t="s">
        <v>18</v>
      </c>
      <c r="U16" s="94" t="s">
        <v>18</v>
      </c>
      <c r="V16" s="94" t="s">
        <v>23</v>
      </c>
      <c r="W16" s="94" t="s">
        <v>26</v>
      </c>
      <c r="X16" s="94" t="s">
        <v>18</v>
      </c>
      <c r="Y16" s="97">
        <f t="shared" si="7"/>
        <v>44</v>
      </c>
      <c r="Z16" s="94" t="s">
        <v>23</v>
      </c>
      <c r="AA16" s="94" t="s">
        <v>26</v>
      </c>
      <c r="AB16" s="94" t="s">
        <v>18</v>
      </c>
      <c r="AC16" s="94" t="s">
        <v>18</v>
      </c>
      <c r="AD16" s="94" t="s">
        <v>23</v>
      </c>
      <c r="AE16" s="94" t="s">
        <v>27</v>
      </c>
      <c r="AF16" s="94" t="s">
        <v>18</v>
      </c>
      <c r="AG16" s="95">
        <f t="shared" si="3"/>
        <v>44</v>
      </c>
      <c r="AH16" s="94" t="s">
        <v>29</v>
      </c>
      <c r="AI16" s="94" t="s">
        <v>18</v>
      </c>
      <c r="AJ16" s="94" t="s">
        <v>18</v>
      </c>
      <c r="AK16" s="94" t="s">
        <v>18</v>
      </c>
      <c r="AL16" s="94" t="s">
        <v>23</v>
      </c>
      <c r="AM16" s="94" t="s">
        <v>26</v>
      </c>
      <c r="AN16" s="94" t="s">
        <v>18</v>
      </c>
      <c r="AO16" s="95">
        <f t="shared" si="4"/>
        <v>32</v>
      </c>
      <c r="AP16" s="94" t="s">
        <v>27</v>
      </c>
      <c r="AQ16" s="94" t="s">
        <v>26</v>
      </c>
      <c r="AR16" s="94" t="s">
        <v>18</v>
      </c>
      <c r="AS16" s="94" t="s">
        <v>18</v>
      </c>
      <c r="AT16" s="94" t="s">
        <v>23</v>
      </c>
      <c r="AU16" s="94" t="s">
        <v>23</v>
      </c>
      <c r="AV16" s="94" t="s">
        <v>26</v>
      </c>
      <c r="AW16" s="95">
        <f t="shared" si="5"/>
        <v>56</v>
      </c>
      <c r="AX16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16,"D")+COUNTIF(K16,"D1")+COUNTIF(K16,"N")+COUNTIF(K16,"N1")+COUNTIF(K16,"Din")+COUNTIF(K16,"D1in")+COUNTIF(K16,"Nin")+COUNTIF(K16,"N1in")+COUNTIF(K16,"DN")+COUNTIF(K16,"TN")+COUNTIF(K16,"NM")+COUNTIF(K16,"DA")+COUNTIF(K16,"DA")+COUNTIF(O16,"D")+COUNTIF(O16,"D1")+COUNTIF(O16,"N")+COUNTIF(O16,"N1")+COUNTIF(O16,"Din")+COUNTIF(O16,"D1in")+COUNTIF(O16,"Nin")+COUNTIF(O16,"N1in")+COUNTIF(O16,"DN")+COUNTIF(O16,"TN")+COUNTIF(O16,"NM")+COUNTIF(O16,"DA")+COUNTIF(O16,"DA")+COUNTIF(W16,"D")+COUNTIF(W16,"D1")+COUNTIF(W16,"N")+COUNTIF(W16,"N1")+COUNTIF(W16,"Din")+COUNTIF(W16,"D1in")+COUNTIF(W16,"Nin")+COUNTIF(W16,"N1in")+COUNTIF(W16,"DN")+COUNTIF(W16,"TN")+COUNTIF(W16,"NM")+COUNTIF(W16,"DA")+COUNTIF(W16,"DA")+COUNTIF(AU16,"D")+COUNTIF(AU16,"D1")+COUNTIF(AU16,"N")+COUNTIF(AU16,"N1")+COUNTIF(AU16,"Din")+COUNTIF(AU16,"D1in")+COUNTIF(AU16,"Nin")+COUNTIF(AU16,"N1in")+COUNTIF(AU16,"DN")+COUNTIF(AU16,"TN")+COUNTIF(AU16,"NM")+COUNTIF(AU16,"DA")+COUNTIF(AU16,"DA")</f>
        <v>#REF!</v>
      </c>
      <c r="AY16" s="75" t="e">
        <f>COUNTIF(D16,"D")+COUNTIF(D16,"D1")+COUNTIF(D16,"N")+COUNTIF(D16,"N1")+COUNTIF(D16,"Din")+COUNTIF(D16,"D1in")+COUNTIF(D16,"Nin")+COUNTIF(D16,"N1in")+COUNTIF(D16,"DN")+COUNTIF(D16,"TN")+COUNTIF(D16,"NM")+COUNTIF(D16,"DA")+COUNTIF(D16,"DA")+COUNTIF(L16,"D")+COUNTIF(L16,"D1")+COUNTIF(L16,"N")+COUNTIF(L16,"N1")+COUNTIF(L16,"Din")+COUNTIF(L16,"D1in")+COUNTIF(L16,"Nin")+COUNTIF(L16,"N1in")+COUNTIF(L16,"DN")+COUNTIF(L16,"TN")+COUNTIF(L16,"NM")+COUNTIF(L16,"DA")+COUNTIF(L16,"DA")+COUNTIF(P16,"D")+COUNTIF(P16,"D1")+COUNTIF(P16,"N")+COUNTIF(P16,"N1")+COUNTIF(P16,"Din")+COUNTIF(P16,"D1in")+COUNTIF(P16,"Nin")+COUNTIF(P16,"N1in")+COUNTIF(P16,"DN")+COUNTIF(P16,"TN")+COUNTIF(P16,"NM")+COUNTIF(P16,"DA")+COUNTIF(P16,"DA")+COUNTIF(X16,"D")+COUNTIF(X16,"D1")+COUNTIF(X16,"N")+COUNTIF(X16,"N1")+COUNTIF(X16,"Din")+COUNTIF(X16,"D1in")+COUNTIF(X16,"Nin")+COUNTIF(X16,"N1in")+COUNTIF(X16,"DN")+COUNTIF(X16,"TN")+COUNTIF(X16,"NM")+COUNTIF(X16,"DA")+COUNTIF(X16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6" s="58">
        <f t="shared" si="6"/>
        <v>5</v>
      </c>
    </row>
    <row r="17" spans="1:52" ht="19.5" customHeight="1" x14ac:dyDescent="0.25">
      <c r="A17" s="87">
        <v>8</v>
      </c>
      <c r="B17" s="88" t="s">
        <v>110</v>
      </c>
      <c r="C17" s="89">
        <v>38796679</v>
      </c>
      <c r="D17" s="98" t="s">
        <v>26</v>
      </c>
      <c r="E17" s="91">
        <f t="shared" si="0"/>
        <v>12</v>
      </c>
      <c r="F17" s="92" t="s">
        <v>27</v>
      </c>
      <c r="G17" s="92" t="s">
        <v>26</v>
      </c>
      <c r="H17" s="92" t="s">
        <v>18</v>
      </c>
      <c r="I17" s="92" t="s">
        <v>18</v>
      </c>
      <c r="J17" s="92" t="s">
        <v>23</v>
      </c>
      <c r="K17" s="92" t="s">
        <v>26</v>
      </c>
      <c r="L17" s="92" t="s">
        <v>18</v>
      </c>
      <c r="M17" s="110">
        <v>44</v>
      </c>
      <c r="N17" s="205" t="s">
        <v>18</v>
      </c>
      <c r="O17" s="205" t="s">
        <v>25</v>
      </c>
      <c r="P17" s="205" t="s">
        <v>26</v>
      </c>
      <c r="Q17" s="199">
        <v>44</v>
      </c>
      <c r="R17" s="206" t="s">
        <v>18</v>
      </c>
      <c r="S17" s="90" t="s">
        <v>25</v>
      </c>
      <c r="T17" s="90" t="s">
        <v>18</v>
      </c>
      <c r="U17" s="90" t="s">
        <v>26</v>
      </c>
      <c r="V17" s="90" t="s">
        <v>18</v>
      </c>
      <c r="W17" s="90" t="s">
        <v>23</v>
      </c>
      <c r="X17" s="90" t="s">
        <v>23</v>
      </c>
      <c r="Y17" s="93">
        <v>44</v>
      </c>
      <c r="Z17" s="90" t="s">
        <v>18</v>
      </c>
      <c r="AA17" s="212" t="s">
        <v>23</v>
      </c>
      <c r="AB17" s="90" t="s">
        <v>26</v>
      </c>
      <c r="AC17" s="90" t="s">
        <v>18</v>
      </c>
      <c r="AD17" s="90" t="s">
        <v>18</v>
      </c>
      <c r="AE17" s="90" t="s">
        <v>25</v>
      </c>
      <c r="AF17" s="90" t="s">
        <v>26</v>
      </c>
      <c r="AG17" s="95">
        <f t="shared" si="3"/>
        <v>44</v>
      </c>
      <c r="AH17" s="90" t="s">
        <v>18</v>
      </c>
      <c r="AI17" s="90" t="s">
        <v>25</v>
      </c>
      <c r="AJ17" s="90" t="s">
        <v>18</v>
      </c>
      <c r="AK17" s="90" t="s">
        <v>26</v>
      </c>
      <c r="AL17" s="90" t="s">
        <v>18</v>
      </c>
      <c r="AM17" s="90" t="s">
        <v>23</v>
      </c>
      <c r="AN17" s="90" t="s">
        <v>23</v>
      </c>
      <c r="AO17" s="95">
        <f t="shared" si="4"/>
        <v>44</v>
      </c>
      <c r="AP17" s="90" t="s">
        <v>26</v>
      </c>
      <c r="AQ17" s="217" t="s">
        <v>18</v>
      </c>
      <c r="AR17" s="90" t="s">
        <v>18</v>
      </c>
      <c r="AS17" s="225" t="s">
        <v>23</v>
      </c>
      <c r="AT17" s="217" t="s">
        <v>18</v>
      </c>
      <c r="AU17" s="90" t="s">
        <v>27</v>
      </c>
      <c r="AV17" s="90" t="s">
        <v>26</v>
      </c>
      <c r="AW17" s="95">
        <f t="shared" si="5"/>
        <v>44</v>
      </c>
      <c r="AX17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17,"D")+COUNTIF(K17,"D1")+COUNTIF(K17,"N")+COUNTIF(K17,"N1")+COUNTIF(K17,"Din")+COUNTIF(K17,"D1in")+COUNTIF(K17,"Nin")+COUNTIF(K17,"N1in")+COUNTIF(K17,"DN")+COUNTIF(K17,"TN")+COUNTIF(K17,"NM")+COUNTIF(K17,"DA")+COUNTIF(K17,"DA")+COUNTIF(O17,"D")+COUNTIF(O17,"D1")+COUNTIF(O17,"N")+COUNTIF(O17,"N1")+COUNTIF(O17,"Din")+COUNTIF(O17,"D1in")+COUNTIF(O17,"Nin")+COUNTIF(O17,"N1in")+COUNTIF(O17,"DN")+COUNTIF(O17,"TN")+COUNTIF(O17,"NM")+COUNTIF(O17,"DA")+COUNTIF(O17,"DA")+COUNTIF(W17,"D")+COUNTIF(W17,"D1")+COUNTIF(W17,"N")+COUNTIF(W17,"N1")+COUNTIF(W17,"Din")+COUNTIF(W17,"D1in")+COUNTIF(W17,"Nin")+COUNTIF(W17,"N1in")+COUNTIF(W17,"DN")+COUNTIF(W17,"TN")+COUNTIF(W17,"NM")+COUNTIF(W17,"DA")+COUNTIF(W17,"DA")+COUNTIF(AU17,"D")+COUNTIF(AU17,"D1")+COUNTIF(AU17,"N")+COUNTIF(AU17,"N1")+COUNTIF(AU17,"Din")+COUNTIF(AU17,"D1in")+COUNTIF(AU17,"Nin")+COUNTIF(AU17,"N1in")+COUNTIF(AU17,"DN")+COUNTIF(AU17,"TN")+COUNTIF(AU17,"NM")+COUNTIF(AU17,"DA")+COUNTIF(AU17,"DA")</f>
        <v>#REF!</v>
      </c>
      <c r="AY17" s="75" t="e">
        <f>COUNTIF(D17,"D")+COUNTIF(D17,"D1")+COUNTIF(D17,"N")+COUNTIF(D17,"N1")+COUNTIF(D17,"Din")+COUNTIF(D17,"D1in")+COUNTIF(D17,"Nin")+COUNTIF(D17,"N1in")+COUNTIF(D17,"DN")+COUNTIF(D17,"TN")+COUNTIF(D17,"NM")+COUNTIF(D17,"DA")+COUNTIF(D17,"DA")+COUNTIF(L17,"D")+COUNTIF(L17,"D1")+COUNTIF(L17,"N")+COUNTIF(L17,"N1")+COUNTIF(L17,"Din")+COUNTIF(L17,"D1in")+COUNTIF(L17,"Nin")+COUNTIF(L17,"N1in")+COUNTIF(L17,"DN")+COUNTIF(L17,"TN")+COUNTIF(L17,"NM")+COUNTIF(L17,"DA")+COUNTIF(L17,"DA")+COUNTIF(P17,"D")+COUNTIF(P17,"D1")+COUNTIF(P17,"N")+COUNTIF(P17,"N1")+COUNTIF(P17,"Din")+COUNTIF(P17,"D1in")+COUNTIF(P17,"Nin")+COUNTIF(P17,"N1in")+COUNTIF(P17,"DN")+COUNTIF(P17,"TN")+COUNTIF(P17,"NM")+COUNTIF(P17,"DA")+COUNTIF(P17,"DA")+COUNTIF(X17,"D")+COUNTIF(X17,"D1")+COUNTIF(X17,"N")+COUNTIF(X17,"N1")+COUNTIF(X17,"Din")+COUNTIF(X17,"D1in")+COUNTIF(X17,"Nin")+COUNTIF(X17,"N1in")+COUNTIF(X17,"DN")+COUNTIF(X17,"TN")+COUNTIF(X17,"NM")+COUNTIF(X17,"DA")+COUNTIF(X17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7" s="58">
        <f t="shared" si="6"/>
        <v>9</v>
      </c>
    </row>
    <row r="18" spans="1:52" ht="19.5" customHeight="1" x14ac:dyDescent="0.25">
      <c r="A18" s="87">
        <v>9</v>
      </c>
      <c r="B18" s="88" t="s">
        <v>111</v>
      </c>
      <c r="C18" s="89">
        <v>1006342058</v>
      </c>
      <c r="D18" s="98" t="s">
        <v>26</v>
      </c>
      <c r="E18" s="91">
        <f t="shared" si="0"/>
        <v>12</v>
      </c>
      <c r="F18" s="92" t="s">
        <v>26</v>
      </c>
      <c r="G18" s="92" t="s">
        <v>18</v>
      </c>
      <c r="H18" s="92" t="s">
        <v>23</v>
      </c>
      <c r="I18" s="92" t="s">
        <v>29</v>
      </c>
      <c r="J18" s="92" t="s">
        <v>18</v>
      </c>
      <c r="K18" s="92" t="s">
        <v>18</v>
      </c>
      <c r="L18" s="92" t="s">
        <v>26</v>
      </c>
      <c r="M18" s="110">
        <v>44</v>
      </c>
      <c r="N18" s="205" t="s">
        <v>18</v>
      </c>
      <c r="O18" s="205" t="s">
        <v>18</v>
      </c>
      <c r="P18" s="205" t="s">
        <v>26</v>
      </c>
      <c r="Q18" s="200">
        <f t="shared" ref="Q18:Q27" si="8">COUNTIF(N18:P18,"D")*12+COUNTIF(N18:P18,"D1")*11+COUNTIF(N18:P18,"N")*12+COUNTIF(N18:P18,"N1")*11+COUNTIF(N18:P18,"Din")*12+COUNTIF(N18:P18,"D1in")*11+COUNTIF(N18:P18,"Nin")*12+COUNTIF(N18:P18,"N1in")*11+COUNTIF(N18:P18,"M8")*8+COUNTIF(N18:P18,"T8")*8+COUNTIF(N18:P18,"N8")*8</f>
        <v>12</v>
      </c>
      <c r="R18" s="210" t="s">
        <v>26</v>
      </c>
      <c r="S18" s="104" t="s">
        <v>18</v>
      </c>
      <c r="T18" s="104" t="s">
        <v>23</v>
      </c>
      <c r="U18" s="100" t="s">
        <v>29</v>
      </c>
      <c r="V18" s="100" t="s">
        <v>18</v>
      </c>
      <c r="W18" s="105" t="s">
        <v>18</v>
      </c>
      <c r="X18" s="100" t="s">
        <v>23</v>
      </c>
      <c r="Y18" s="101">
        <f t="shared" ref="Y18:Y23" si="9">COUNTIF(R18:X18,"D")*12+COUNTIF(R18:X18,"D1")*11+COUNTIF(R18:X18,"N")*12+COUNTIF(R18:X18,"N1")*11+COUNTIF(R18:X18,"Din")*12+COUNTIF(R18:X18,"D1in")*11+COUNTIF(R18:X18,"Nin")*12+COUNTIF(R18:X18,"N1in")*11+COUNTIF(R18:X18,"M8")*8+COUNTIF(R18:X18,"T8")*8+COUNTIF(R18:X18,"N8")*8</f>
        <v>44</v>
      </c>
      <c r="Z18" s="104" t="s">
        <v>26</v>
      </c>
      <c r="AA18" s="104" t="s">
        <v>18</v>
      </c>
      <c r="AB18" s="104" t="s">
        <v>23</v>
      </c>
      <c r="AC18" s="218" t="s">
        <v>23</v>
      </c>
      <c r="AD18" s="100" t="s">
        <v>18</v>
      </c>
      <c r="AE18" s="105" t="s">
        <v>18</v>
      </c>
      <c r="AF18" s="100" t="s">
        <v>25</v>
      </c>
      <c r="AG18" s="95">
        <f t="shared" si="3"/>
        <v>44</v>
      </c>
      <c r="AH18" s="100" t="s">
        <v>25</v>
      </c>
      <c r="AI18" s="100" t="s">
        <v>18</v>
      </c>
      <c r="AJ18" s="219" t="s">
        <v>23</v>
      </c>
      <c r="AK18" s="100" t="s">
        <v>23</v>
      </c>
      <c r="AL18" s="100" t="s">
        <v>18</v>
      </c>
      <c r="AM18" s="105" t="s">
        <v>18</v>
      </c>
      <c r="AN18" s="100" t="s">
        <v>26</v>
      </c>
      <c r="AO18" s="95">
        <f t="shared" si="4"/>
        <v>44</v>
      </c>
      <c r="AP18" s="104" t="s">
        <v>26</v>
      </c>
      <c r="AQ18" s="104" t="s">
        <v>18</v>
      </c>
      <c r="AR18" s="104" t="s">
        <v>27</v>
      </c>
      <c r="AS18" s="219" t="s">
        <v>23</v>
      </c>
      <c r="AT18" s="100" t="s">
        <v>18</v>
      </c>
      <c r="AU18" s="105" t="s">
        <v>18</v>
      </c>
      <c r="AV18" s="100" t="s">
        <v>26</v>
      </c>
      <c r="AW18" s="95">
        <f t="shared" si="5"/>
        <v>44</v>
      </c>
      <c r="AX18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18,"D")+COUNTIF(K18,"D1")+COUNTIF(K18,"N")+COUNTIF(K18,"N1")+COUNTIF(K18,"Din")+COUNTIF(K18,"D1in")+COUNTIF(K18,"Nin")+COUNTIF(K18,"N1in")+COUNTIF(K18,"DN")+COUNTIF(K18,"TN")+COUNTIF(K18,"NM")+COUNTIF(K18,"DA")+COUNTIF(K18,"DA")+COUNTIF(O18,"D")+COUNTIF(O18,"D1")+COUNTIF(O18,"N")+COUNTIF(O18,"N1")+COUNTIF(O18,"Din")+COUNTIF(O18,"D1in")+COUNTIF(O18,"Nin")+COUNTIF(O18,"N1in")+COUNTIF(O18,"DN")+COUNTIF(O18,"TN")+COUNTIF(O18,"NM")+COUNTIF(O18,"DA")+COUNTIF(O18,"DA")+COUNTIF(W18,"D")+COUNTIF(W18,"D1")+COUNTIF(W18,"N")+COUNTIF(W18,"N1")+COUNTIF(W18,"Din")+COUNTIF(W18,"D1in")+COUNTIF(W18,"Nin")+COUNTIF(W18,"N1in")+COUNTIF(W18,"DN")+COUNTIF(W18,"TN")+COUNTIF(W18,"NM")+COUNTIF(W18,"DA")+COUNTIF(W18,"DA")+COUNTIF(AU18,"D")+COUNTIF(AU18,"D1")+COUNTIF(AU18,"N")+COUNTIF(AU18,"N1")+COUNTIF(AU18,"Din")+COUNTIF(AU18,"D1in")+COUNTIF(AU18,"Nin")+COUNTIF(AU18,"N1in")+COUNTIF(AU18,"DN")+COUNTIF(AU18,"TN")+COUNTIF(AU18,"NM")+COUNTIF(AU18,"DA")+COUNTIF(AU18,"DA")</f>
        <v>#REF!</v>
      </c>
      <c r="AY18" s="75" t="e">
        <f>COUNTIF(D18,"D")+COUNTIF(D18,"D1")+COUNTIF(D18,"N")+COUNTIF(D18,"N1")+COUNTIF(D18,"Din")+COUNTIF(D18,"D1in")+COUNTIF(D18,"Nin")+COUNTIF(D18,"N1in")+COUNTIF(D18,"DN")+COUNTIF(D18,"TN")+COUNTIF(D18,"NM")+COUNTIF(D18,"DA")+COUNTIF(D18,"DA")+COUNTIF(L18,"D")+COUNTIF(L18,"D1")+COUNTIF(L18,"N")+COUNTIF(L18,"N1")+COUNTIF(L18,"Din")+COUNTIF(L18,"D1in")+COUNTIF(L18,"Nin")+COUNTIF(L18,"N1in")+COUNTIF(L18,"DN")+COUNTIF(L18,"TN")+COUNTIF(L18,"NM")+COUNTIF(L18,"DA")+COUNTIF(L18,"DA")+COUNTIF(P18,"D")+COUNTIF(P18,"D1")+COUNTIF(P18,"N")+COUNTIF(P18,"N1")+COUNTIF(P18,"Din")+COUNTIF(P18,"D1in")+COUNTIF(P18,"Nin")+COUNTIF(P18,"N1in")+COUNTIF(P18,"DN")+COUNTIF(P18,"TN")+COUNTIF(P18,"NM")+COUNTIF(P18,"DA")+COUNTIF(P18,"DA")+COUNTIF(X18,"D")+COUNTIF(X18,"D1")+COUNTIF(X18,"N")+COUNTIF(X18,"N1")+COUNTIF(X18,"Din")+COUNTIF(X18,"D1in")+COUNTIF(X18,"Nin")+COUNTIF(X18,"N1in")+COUNTIF(X18,"DN")+COUNTIF(X18,"TN")+COUNTIF(X18,"NM")+COUNTIF(X18,"DA")+COUNTIF(X18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8" s="58">
        <f t="shared" si="6"/>
        <v>8</v>
      </c>
    </row>
    <row r="19" spans="1:52" ht="19.5" customHeight="1" x14ac:dyDescent="0.25">
      <c r="A19" s="87">
        <v>10</v>
      </c>
      <c r="B19" s="88" t="s">
        <v>112</v>
      </c>
      <c r="C19" s="89">
        <v>66765942</v>
      </c>
      <c r="D19" s="90" t="s">
        <v>18</v>
      </c>
      <c r="E19" s="91">
        <f t="shared" si="0"/>
        <v>0</v>
      </c>
      <c r="F19" s="92" t="s">
        <v>18</v>
      </c>
      <c r="G19" s="92" t="s">
        <v>23</v>
      </c>
      <c r="H19" s="92" t="s">
        <v>27</v>
      </c>
      <c r="I19" s="92" t="s">
        <v>26</v>
      </c>
      <c r="J19" s="92" t="s">
        <v>18</v>
      </c>
      <c r="K19" s="92" t="s">
        <v>26</v>
      </c>
      <c r="L19" s="92" t="s">
        <v>18</v>
      </c>
      <c r="M19" s="110">
        <v>44</v>
      </c>
      <c r="N19" s="205" t="s">
        <v>18</v>
      </c>
      <c r="O19" s="205" t="s">
        <v>23</v>
      </c>
      <c r="P19" s="205" t="s">
        <v>27</v>
      </c>
      <c r="Q19" s="128">
        <f t="shared" si="8"/>
        <v>20</v>
      </c>
      <c r="R19" s="90" t="s">
        <v>26</v>
      </c>
      <c r="S19" s="90" t="s">
        <v>18</v>
      </c>
      <c r="T19" s="90" t="s">
        <v>26</v>
      </c>
      <c r="U19" s="90" t="s">
        <v>18</v>
      </c>
      <c r="V19" s="90" t="s">
        <v>25</v>
      </c>
      <c r="W19" s="90" t="s">
        <v>18</v>
      </c>
      <c r="X19" s="211" t="s">
        <v>26</v>
      </c>
      <c r="Y19" s="95">
        <f t="shared" si="9"/>
        <v>44</v>
      </c>
      <c r="Z19" s="90" t="s">
        <v>18</v>
      </c>
      <c r="AA19" s="209" t="s">
        <v>21</v>
      </c>
      <c r="AB19" s="209" t="s">
        <v>21</v>
      </c>
      <c r="AC19" s="209" t="s">
        <v>21</v>
      </c>
      <c r="AD19" s="209" t="s">
        <v>21</v>
      </c>
      <c r="AE19" s="209" t="s">
        <v>21</v>
      </c>
      <c r="AF19" s="209" t="s">
        <v>21</v>
      </c>
      <c r="AG19" s="95">
        <f t="shared" si="3"/>
        <v>0</v>
      </c>
      <c r="AH19" s="209" t="s">
        <v>21</v>
      </c>
      <c r="AI19" s="209" t="s">
        <v>21</v>
      </c>
      <c r="AJ19" s="209" t="s">
        <v>21</v>
      </c>
      <c r="AK19" s="209" t="s">
        <v>21</v>
      </c>
      <c r="AL19" s="209" t="s">
        <v>21</v>
      </c>
      <c r="AM19" s="209" t="s">
        <v>21</v>
      </c>
      <c r="AN19" s="209" t="s">
        <v>21</v>
      </c>
      <c r="AO19" s="95">
        <f t="shared" si="4"/>
        <v>0</v>
      </c>
      <c r="AP19" s="209" t="s">
        <v>21</v>
      </c>
      <c r="AQ19" s="209" t="s">
        <v>21</v>
      </c>
      <c r="AR19" s="209" t="s">
        <v>21</v>
      </c>
      <c r="AS19" s="209" t="s">
        <v>21</v>
      </c>
      <c r="AT19" s="209" t="s">
        <v>21</v>
      </c>
      <c r="AU19" s="209" t="s">
        <v>21</v>
      </c>
      <c r="AV19" s="209" t="s">
        <v>21</v>
      </c>
      <c r="AW19" s="95">
        <f t="shared" si="5"/>
        <v>0</v>
      </c>
      <c r="AX19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19,"D")+COUNTIF(K19,"D1")+COUNTIF(K19,"N")+COUNTIF(K19,"N1")+COUNTIF(K19,"Din")+COUNTIF(K19,"D1in")+COUNTIF(K19,"Nin")+COUNTIF(K19,"N1in")+COUNTIF(K19,"DN")+COUNTIF(K19,"TN")+COUNTIF(K19,"NM")+COUNTIF(K19,"DA")+COUNTIF(K19,"DA")+COUNTIF(O19,"D")+COUNTIF(O19,"D1")+COUNTIF(O19,"N")+COUNTIF(O19,"N1")+COUNTIF(O19,"Din")+COUNTIF(O19,"D1in")+COUNTIF(O19,"Nin")+COUNTIF(O19,"N1in")+COUNTIF(O19,"DN")+COUNTIF(O19,"TN")+COUNTIF(O19,"NM")+COUNTIF(O19,"DA")+COUNTIF(O19,"DA")+COUNTIF(W19,"D")+COUNTIF(W19,"D1")+COUNTIF(W19,"N")+COUNTIF(W19,"N1")+COUNTIF(W19,"Din")+COUNTIF(W19,"D1in")+COUNTIF(W19,"Nin")+COUNTIF(W19,"N1in")+COUNTIF(W19,"DN")+COUNTIF(W19,"TN")+COUNTIF(W19,"NM")+COUNTIF(W19,"DA")+COUNTIF(W19,"DA")+COUNTIF(AU19,"D")+COUNTIF(AU19,"D1")+COUNTIF(AU19,"N")+COUNTIF(AU19,"N1")+COUNTIF(AU19,"Din")+COUNTIF(AU19,"D1in")+COUNTIF(AU19,"Nin")+COUNTIF(AU19,"N1in")+COUNTIF(AU19,"DN")+COUNTIF(AU19,"TN")+COUNTIF(AU19,"NM")+COUNTIF(AU19,"DA")+COUNTIF(AU19,"DA")</f>
        <v>#REF!</v>
      </c>
      <c r="AY19" s="75" t="e">
        <f>COUNTIF(D19,"D")+COUNTIF(D19,"D1")+COUNTIF(D19,"N")+COUNTIF(D19,"N1")+COUNTIF(D19,"Din")+COUNTIF(D19,"D1in")+COUNTIF(D19,"Nin")+COUNTIF(D19,"N1in")+COUNTIF(D19,"DN")+COUNTIF(D19,"TN")+COUNTIF(D19,"NM")+COUNTIF(D19,"DA")+COUNTIF(D19,"DA")+COUNTIF(L19,"D")+COUNTIF(L19,"D1")+COUNTIF(L19,"N")+COUNTIF(L19,"N1")+COUNTIF(L19,"Din")+COUNTIF(L19,"D1in")+COUNTIF(L19,"Nin")+COUNTIF(L19,"N1in")+COUNTIF(L19,"DN")+COUNTIF(L19,"TN")+COUNTIF(L19,"NM")+COUNTIF(L19,"DA")+COUNTIF(L19,"DA")+COUNTIF(P19,"D")+COUNTIF(P19,"D1")+COUNTIF(P19,"N")+COUNTIF(P19,"N1")+COUNTIF(P19,"Din")+COUNTIF(P19,"D1in")+COUNTIF(P19,"Nin")+COUNTIF(P19,"N1in")+COUNTIF(P19,"DN")+COUNTIF(P19,"TN")+COUNTIF(P19,"NM")+COUNTIF(P19,"DA")+COUNTIF(P19,"DA")+COUNTIF(X19,"D")+COUNTIF(X19,"D1")+COUNTIF(X19,"N")+COUNTIF(X19,"N1")+COUNTIF(X19,"Din")+COUNTIF(X19,"D1in")+COUNTIF(X19,"Nin")+COUNTIF(X19,"N1in")+COUNTIF(X19,"DN")+COUNTIF(X19,"TN")+COUNTIF(X19,"NM")+COUNTIF(X19,"DA")+COUNTIF(X19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19" s="58">
        <f t="shared" si="6"/>
        <v>5</v>
      </c>
    </row>
    <row r="20" spans="1:52" ht="18.75" customHeight="1" x14ac:dyDescent="0.25">
      <c r="A20" s="87">
        <v>11</v>
      </c>
      <c r="B20" s="88" t="s">
        <v>113</v>
      </c>
      <c r="C20" s="89">
        <v>1113655819</v>
      </c>
      <c r="D20" s="98" t="s">
        <v>71</v>
      </c>
      <c r="E20" s="91">
        <f t="shared" si="0"/>
        <v>11</v>
      </c>
      <c r="F20" s="92" t="s">
        <v>26</v>
      </c>
      <c r="G20" s="92" t="s">
        <v>18</v>
      </c>
      <c r="H20" s="92" t="s">
        <v>26</v>
      </c>
      <c r="I20" s="92" t="s">
        <v>18</v>
      </c>
      <c r="J20" s="92" t="s">
        <v>26</v>
      </c>
      <c r="K20" s="92" t="s">
        <v>18</v>
      </c>
      <c r="L20" s="92" t="s">
        <v>27</v>
      </c>
      <c r="M20" s="110">
        <v>44</v>
      </c>
      <c r="N20" s="205" t="s">
        <v>18</v>
      </c>
      <c r="O20" s="205" t="s">
        <v>27</v>
      </c>
      <c r="P20" s="205" t="s">
        <v>26</v>
      </c>
      <c r="Q20" s="128">
        <f t="shared" si="8"/>
        <v>20</v>
      </c>
      <c r="R20" s="206" t="s">
        <v>18</v>
      </c>
      <c r="S20" s="212" t="s">
        <v>41</v>
      </c>
      <c r="T20" s="212" t="s">
        <v>41</v>
      </c>
      <c r="U20" s="212" t="s">
        <v>41</v>
      </c>
      <c r="V20" s="211" t="s">
        <v>23</v>
      </c>
      <c r="W20" s="90" t="s">
        <v>18</v>
      </c>
      <c r="X20" s="211" t="s">
        <v>26</v>
      </c>
      <c r="Y20" s="95">
        <f t="shared" si="9"/>
        <v>24</v>
      </c>
      <c r="Z20" s="90" t="s">
        <v>18</v>
      </c>
      <c r="AA20" s="90" t="s">
        <v>23</v>
      </c>
      <c r="AB20" s="90" t="s">
        <v>26</v>
      </c>
      <c r="AC20" s="90" t="s">
        <v>18</v>
      </c>
      <c r="AD20" s="90" t="s">
        <v>27</v>
      </c>
      <c r="AE20" s="90" t="s">
        <v>26</v>
      </c>
      <c r="AF20" s="90" t="s">
        <v>18</v>
      </c>
      <c r="AG20" s="95">
        <f t="shared" si="3"/>
        <v>44</v>
      </c>
      <c r="AH20" s="90" t="s">
        <v>27</v>
      </c>
      <c r="AI20" s="90" t="s">
        <v>26</v>
      </c>
      <c r="AJ20" s="90" t="s">
        <v>18</v>
      </c>
      <c r="AK20" s="90" t="s">
        <v>18</v>
      </c>
      <c r="AL20" s="90" t="s">
        <v>23</v>
      </c>
      <c r="AM20" s="90" t="s">
        <v>26</v>
      </c>
      <c r="AN20" s="90" t="s">
        <v>18</v>
      </c>
      <c r="AO20" s="95">
        <f t="shared" si="4"/>
        <v>44</v>
      </c>
      <c r="AP20" s="216" t="s">
        <v>29</v>
      </c>
      <c r="AQ20" s="90" t="s">
        <v>26</v>
      </c>
      <c r="AR20" s="90" t="s">
        <v>18</v>
      </c>
      <c r="AS20" s="90" t="s">
        <v>18</v>
      </c>
      <c r="AT20" s="90" t="s">
        <v>23</v>
      </c>
      <c r="AU20" s="90" t="s">
        <v>26</v>
      </c>
      <c r="AV20" s="90" t="s">
        <v>18</v>
      </c>
      <c r="AW20" s="95">
        <f t="shared" si="5"/>
        <v>44</v>
      </c>
      <c r="AX20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20,"D")+COUNTIF(K20,"D1")+COUNTIF(K20,"N")+COUNTIF(K20,"N1")+COUNTIF(K20,"Din")+COUNTIF(K20,"D1in")+COUNTIF(K20,"Nin")+COUNTIF(K20,"N1in")+COUNTIF(K20,"DN")+COUNTIF(K20,"TN")+COUNTIF(K20,"NM")+COUNTIF(K20,"DA")+COUNTIF(K20,"DA")+COUNTIF(O20,"D")+COUNTIF(O20,"D1")+COUNTIF(O20,"N")+COUNTIF(O20,"N1")+COUNTIF(O20,"Din")+COUNTIF(O20,"D1in")+COUNTIF(O20,"Nin")+COUNTIF(O20,"N1in")+COUNTIF(O20,"DN")+COUNTIF(O20,"TN")+COUNTIF(O20,"NM")+COUNTIF(O20,"DA")+COUNTIF(O20,"DA")+COUNTIF(W20,"D")+COUNTIF(W20,"D1")+COUNTIF(W20,"N")+COUNTIF(W20,"N1")+COUNTIF(W20,"Din")+COUNTIF(W20,"D1in")+COUNTIF(W20,"Nin")+COUNTIF(W20,"N1in")+COUNTIF(W20,"DN")+COUNTIF(W20,"TN")+COUNTIF(W20,"NM")+COUNTIF(W20,"DA")+COUNTIF(W20,"DA")+COUNTIF(AU20,"D")+COUNTIF(AU20,"D1")+COUNTIF(AU20,"N")+COUNTIF(AU20,"N1")+COUNTIF(AU20,"Din")+COUNTIF(AU20,"D1in")+COUNTIF(AU20,"Nin")+COUNTIF(AU20,"N1in")+COUNTIF(AU20,"DN")+COUNTIF(AU20,"TN")+COUNTIF(AU20,"NM")+COUNTIF(AU20,"DA")+COUNTIF(AU20,"DA")</f>
        <v>#REF!</v>
      </c>
      <c r="AY20" s="75" t="e">
        <f>COUNTIF(D20,"D")+COUNTIF(D20,"D1")+COUNTIF(D20,"N")+COUNTIF(D20,"N1")+COUNTIF(D20,"Din")+COUNTIF(D20,"D1in")+COUNTIF(D20,"Nin")+COUNTIF(D20,"N1in")+COUNTIF(D20,"DN")+COUNTIF(D20,"TN")+COUNTIF(D20,"NM")+COUNTIF(D20,"DA")+COUNTIF(D20,"DA")+COUNTIF(L20,"D")+COUNTIF(L20,"D1")+COUNTIF(L20,"N")+COUNTIF(L20,"N1")+COUNTIF(L20,"Din")+COUNTIF(L20,"D1in")+COUNTIF(L20,"Nin")+COUNTIF(L20,"N1in")+COUNTIF(L20,"DN")+COUNTIF(L20,"TN")+COUNTIF(L20,"NM")+COUNTIF(L20,"DA")+COUNTIF(L20,"DA")+COUNTIF(P20,"D")+COUNTIF(P20,"D1")+COUNTIF(P20,"N")+COUNTIF(P20,"N1")+COUNTIF(P20,"Din")+COUNTIF(P20,"D1in")+COUNTIF(P20,"Nin")+COUNTIF(P20,"N1in")+COUNTIF(P20,"DN")+COUNTIF(P20,"TN")+COUNTIF(P20,"NM")+COUNTIF(P20,"DA")+COUNTIF(P20,"DA")+COUNTIF(X20,"D")+COUNTIF(X20,"D1")+COUNTIF(X20,"N")+COUNTIF(X20,"N1")+COUNTIF(X20,"Din")+COUNTIF(X20,"D1in")+COUNTIF(X20,"Nin")+COUNTIF(X20,"N1in")+COUNTIF(X20,"DN")+COUNTIF(X20,"TN")+COUNTIF(X20,"NM")+COUNTIF(X20,"DA")+COUNTIF(X20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0" s="58">
        <f t="shared" si="6"/>
        <v>12</v>
      </c>
    </row>
    <row r="21" spans="1:52" ht="19.5" customHeight="1" x14ac:dyDescent="0.25">
      <c r="A21" s="87">
        <v>12</v>
      </c>
      <c r="B21" s="88" t="s">
        <v>114</v>
      </c>
      <c r="C21" s="89">
        <v>1006361503</v>
      </c>
      <c r="D21" s="98" t="s">
        <v>26</v>
      </c>
      <c r="E21" s="91">
        <f t="shared" si="0"/>
        <v>12</v>
      </c>
      <c r="F21" s="92" t="s">
        <v>26</v>
      </c>
      <c r="G21" s="92" t="s">
        <v>18</v>
      </c>
      <c r="H21" s="92" t="s">
        <v>18</v>
      </c>
      <c r="I21" s="92" t="s">
        <v>23</v>
      </c>
      <c r="J21" s="92" t="s">
        <v>27</v>
      </c>
      <c r="K21" s="92" t="s">
        <v>26</v>
      </c>
      <c r="L21" s="92" t="s">
        <v>18</v>
      </c>
      <c r="M21" s="110">
        <v>44</v>
      </c>
      <c r="N21" s="205" t="s">
        <v>18</v>
      </c>
      <c r="O21" s="205" t="s">
        <v>29</v>
      </c>
      <c r="P21" s="205" t="s">
        <v>18</v>
      </c>
      <c r="Q21" s="128">
        <f t="shared" si="8"/>
        <v>8</v>
      </c>
      <c r="R21" s="90" t="s">
        <v>18</v>
      </c>
      <c r="S21" s="90" t="s">
        <v>23</v>
      </c>
      <c r="T21" s="90" t="s">
        <v>29</v>
      </c>
      <c r="U21" s="90" t="s">
        <v>18</v>
      </c>
      <c r="V21" s="90" t="s">
        <v>26</v>
      </c>
      <c r="W21" s="90" t="s">
        <v>18</v>
      </c>
      <c r="X21" s="211" t="s">
        <v>18</v>
      </c>
      <c r="Y21" s="95">
        <f t="shared" si="9"/>
        <v>32</v>
      </c>
      <c r="Z21" s="90" t="s">
        <v>26</v>
      </c>
      <c r="AA21" s="90" t="s">
        <v>25</v>
      </c>
      <c r="AB21" s="90" t="s">
        <v>18</v>
      </c>
      <c r="AC21" s="90" t="s">
        <v>18</v>
      </c>
      <c r="AD21" s="90" t="s">
        <v>23</v>
      </c>
      <c r="AE21" s="90" t="s">
        <v>23</v>
      </c>
      <c r="AF21" s="90" t="s">
        <v>26</v>
      </c>
      <c r="AG21" s="95">
        <f t="shared" si="3"/>
        <v>56</v>
      </c>
      <c r="AH21" s="90" t="s">
        <v>18</v>
      </c>
      <c r="AI21" s="90" t="s">
        <v>23</v>
      </c>
      <c r="AJ21" s="90" t="s">
        <v>23</v>
      </c>
      <c r="AK21" s="90" t="s">
        <v>25</v>
      </c>
      <c r="AL21" s="90" t="s">
        <v>18</v>
      </c>
      <c r="AM21" s="90" t="s">
        <v>23</v>
      </c>
      <c r="AN21" s="90" t="s">
        <v>18</v>
      </c>
      <c r="AO21" s="95">
        <f t="shared" si="4"/>
        <v>44</v>
      </c>
      <c r="AP21" s="90" t="s">
        <v>18</v>
      </c>
      <c r="AQ21" s="90" t="s">
        <v>26</v>
      </c>
      <c r="AR21" s="90" t="s">
        <v>18</v>
      </c>
      <c r="AS21" s="90" t="s">
        <v>23</v>
      </c>
      <c r="AT21" s="224" t="s">
        <v>36</v>
      </c>
      <c r="AU21" s="90" t="s">
        <v>18</v>
      </c>
      <c r="AV21" s="90" t="s">
        <v>29</v>
      </c>
      <c r="AW21" s="95">
        <f t="shared" si="5"/>
        <v>32</v>
      </c>
      <c r="AX21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21,"D")+COUNTIF(K21,"D1")+COUNTIF(K21,"N")+COUNTIF(K21,"N1")+COUNTIF(K21,"Din")+COUNTIF(K21,"D1in")+COUNTIF(K21,"Nin")+COUNTIF(K21,"N1in")+COUNTIF(K21,"DN")+COUNTIF(K21,"TN")+COUNTIF(K21,"NM")+COUNTIF(K21,"DA")+COUNTIF(K21,"DA")+COUNTIF(O21,"D")+COUNTIF(O21,"D1")+COUNTIF(O21,"N")+COUNTIF(O21,"N1")+COUNTIF(O21,"Din")+COUNTIF(O21,"D1in")+COUNTIF(O21,"Nin")+COUNTIF(O21,"N1in")+COUNTIF(O21,"DN")+COUNTIF(O21,"TN")+COUNTIF(O21,"NM")+COUNTIF(O21,"DA")+COUNTIF(O21,"DA")+COUNTIF(W21,"D")+COUNTIF(W21,"D1")+COUNTIF(W21,"N")+COUNTIF(W21,"N1")+COUNTIF(W21,"Din")+COUNTIF(W21,"D1in")+COUNTIF(W21,"Nin")+COUNTIF(W21,"N1in")+COUNTIF(W21,"DN")+COUNTIF(W21,"TN")+COUNTIF(W21,"NM")+COUNTIF(W21,"DA")+COUNTIF(W21,"DA")+COUNTIF(AU21,"D")+COUNTIF(AU21,"D1")+COUNTIF(AU21,"N")+COUNTIF(AU21,"N1")+COUNTIF(AU21,"Din")+COUNTIF(AU21,"D1in")+COUNTIF(AU21,"Nin")+COUNTIF(AU21,"N1in")+COUNTIF(AU21,"DN")+COUNTIF(AU21,"TN")+COUNTIF(AU21,"NM")+COUNTIF(AU21,"DA")+COUNTIF(AU21,"DA")</f>
        <v>#REF!</v>
      </c>
      <c r="AY21" s="75" t="e">
        <f>COUNTIF(D21,"D")+COUNTIF(D21,"D1")+COUNTIF(D21,"N")+COUNTIF(D21,"N1")+COUNTIF(D21,"Din")+COUNTIF(D21,"D1in")+COUNTIF(D21,"Nin")+COUNTIF(D21,"N1in")+COUNTIF(D21,"DN")+COUNTIF(D21,"TN")+COUNTIF(D21,"NM")+COUNTIF(D21,"DA")+COUNTIF(D21,"DA")+COUNTIF(L21,"D")+COUNTIF(L21,"D1")+COUNTIF(L21,"N")+COUNTIF(L21,"N1")+COUNTIF(L21,"Din")+COUNTIF(L21,"D1in")+COUNTIF(L21,"Nin")+COUNTIF(L21,"N1in")+COUNTIF(L21,"DN")+COUNTIF(L21,"TN")+COUNTIF(L21,"NM")+COUNTIF(L21,"DA")+COUNTIF(L21,"DA")+COUNTIF(P21,"D")+COUNTIF(P21,"D1")+COUNTIF(P21,"N")+COUNTIF(P21,"N1")+COUNTIF(P21,"Din")+COUNTIF(P21,"D1in")+COUNTIF(P21,"Nin")+COUNTIF(P21,"N1in")+COUNTIF(P21,"DN")+COUNTIF(P21,"TN")+COUNTIF(P21,"NM")+COUNTIF(P21,"DA")+COUNTIF(P21,"DA")+COUNTIF(X21,"D")+COUNTIF(X21,"D1")+COUNTIF(X21,"N")+COUNTIF(X21,"N1")+COUNTIF(X21,"Din")+COUNTIF(X21,"D1in")+COUNTIF(X21,"Nin")+COUNTIF(X21,"N1in")+COUNTIF(X21,"DN")+COUNTIF(X21,"TN")+COUNTIF(X21,"NM")+COUNTIF(X21,"DA")+COUNTIF(X21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1" s="58">
        <f t="shared" si="6"/>
        <v>7</v>
      </c>
    </row>
    <row r="22" spans="1:52" ht="19.5" customHeight="1" x14ac:dyDescent="0.25">
      <c r="A22" s="87">
        <v>13</v>
      </c>
      <c r="B22" s="88" t="s">
        <v>115</v>
      </c>
      <c r="C22" s="89">
        <v>66850614</v>
      </c>
      <c r="D22" s="106" t="s">
        <v>21</v>
      </c>
      <c r="E22" s="91">
        <f t="shared" si="0"/>
        <v>0</v>
      </c>
      <c r="F22" s="92" t="s">
        <v>18</v>
      </c>
      <c r="G22" s="92" t="s">
        <v>29</v>
      </c>
      <c r="H22" s="92" t="s">
        <v>26</v>
      </c>
      <c r="I22" s="92" t="s">
        <v>26</v>
      </c>
      <c r="J22" s="92" t="s">
        <v>18</v>
      </c>
      <c r="K22" s="92" t="s">
        <v>18</v>
      </c>
      <c r="L22" s="92" t="s">
        <v>26</v>
      </c>
      <c r="M22" s="110">
        <v>44</v>
      </c>
      <c r="N22" s="205" t="s">
        <v>18</v>
      </c>
      <c r="O22" s="205" t="s">
        <v>27</v>
      </c>
      <c r="P22" s="205" t="s">
        <v>23</v>
      </c>
      <c r="Q22" s="128">
        <f t="shared" si="8"/>
        <v>20</v>
      </c>
      <c r="R22" s="90" t="s">
        <v>26</v>
      </c>
      <c r="S22" s="90" t="s">
        <v>18</v>
      </c>
      <c r="T22" s="90" t="s">
        <v>23</v>
      </c>
      <c r="U22" s="90" t="s">
        <v>23</v>
      </c>
      <c r="V22" s="90" t="s">
        <v>18</v>
      </c>
      <c r="W22" s="90" t="s">
        <v>25</v>
      </c>
      <c r="X22" s="211" t="s">
        <v>18</v>
      </c>
      <c r="Y22" s="95">
        <f t="shared" si="9"/>
        <v>44</v>
      </c>
      <c r="Z22" s="90" t="s">
        <v>18</v>
      </c>
      <c r="AA22" s="90" t="s">
        <v>23</v>
      </c>
      <c r="AB22" s="90" t="s">
        <v>26</v>
      </c>
      <c r="AC22" s="90" t="s">
        <v>18</v>
      </c>
      <c r="AD22" s="90" t="s">
        <v>26</v>
      </c>
      <c r="AE22" s="90" t="s">
        <v>18</v>
      </c>
      <c r="AF22" s="90" t="s">
        <v>29</v>
      </c>
      <c r="AG22" s="95">
        <f t="shared" si="3"/>
        <v>44</v>
      </c>
      <c r="AH22" s="90" t="s">
        <v>23</v>
      </c>
      <c r="AI22" s="90" t="s">
        <v>26</v>
      </c>
      <c r="AJ22" s="90" t="s">
        <v>18</v>
      </c>
      <c r="AK22" s="90" t="s">
        <v>18</v>
      </c>
      <c r="AL22" s="90" t="s">
        <v>27</v>
      </c>
      <c r="AM22" s="90" t="s">
        <v>18</v>
      </c>
      <c r="AN22" s="90" t="s">
        <v>26</v>
      </c>
      <c r="AO22" s="95">
        <f t="shared" si="4"/>
        <v>44</v>
      </c>
      <c r="AP22" s="90" t="s">
        <v>18</v>
      </c>
      <c r="AQ22" s="90" t="s">
        <v>18</v>
      </c>
      <c r="AR22" s="90" t="s">
        <v>23</v>
      </c>
      <c r="AS22" s="90" t="s">
        <v>41</v>
      </c>
      <c r="AT22" s="90" t="s">
        <v>41</v>
      </c>
      <c r="AU22" s="90" t="s">
        <v>41</v>
      </c>
      <c r="AV22" s="90" t="s">
        <v>18</v>
      </c>
      <c r="AW22" s="95">
        <f t="shared" si="5"/>
        <v>12</v>
      </c>
      <c r="AX22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22,"D")+COUNTIF(K22,"D1")+COUNTIF(K22,"N")+COUNTIF(K22,"N1")+COUNTIF(K22,"Din")+COUNTIF(K22,"D1in")+COUNTIF(K22,"Nin")+COUNTIF(K22,"N1in")+COUNTIF(K22,"DN")+COUNTIF(K22,"TN")+COUNTIF(K22,"NM")+COUNTIF(K22,"DA")+COUNTIF(K22,"DA")+COUNTIF(O22,"D")+COUNTIF(O22,"D1")+COUNTIF(O22,"N")+COUNTIF(O22,"N1")+COUNTIF(O22,"Din")+COUNTIF(O22,"D1in")+COUNTIF(O22,"Nin")+COUNTIF(O22,"N1in")+COUNTIF(O22,"DN")+COUNTIF(O22,"TN")+COUNTIF(O22,"NM")+COUNTIF(O22,"DA")+COUNTIF(O22,"DA")+COUNTIF(W22,"D")+COUNTIF(W22,"D1")+COUNTIF(W22,"N")+COUNTIF(W22,"N1")+COUNTIF(W22,"Din")+COUNTIF(W22,"D1in")+COUNTIF(W22,"Nin")+COUNTIF(W22,"N1in")+COUNTIF(W22,"DN")+COUNTIF(W22,"TN")+COUNTIF(W22,"NM")+COUNTIF(W22,"DA")+COUNTIF(W22,"DA")+COUNTIF(AU22,"D")+COUNTIF(AU22,"D1")+COUNTIF(AU22,"N")+COUNTIF(AU22,"N1")+COUNTIF(AU22,"Din")+COUNTIF(AU22,"D1in")+COUNTIF(AU22,"Nin")+COUNTIF(AU22,"N1in")+COUNTIF(AU22,"DN")+COUNTIF(AU22,"TN")+COUNTIF(AU22,"NM")+COUNTIF(AU22,"DA")+COUNTIF(AU22,"DA")</f>
        <v>#REF!</v>
      </c>
      <c r="AY22" s="75" t="e">
        <f>COUNTIF(D22,"D")+COUNTIF(D22,"D1")+COUNTIF(D22,"N")+COUNTIF(D22,"N1")+COUNTIF(D22,"Din")+COUNTIF(D22,"D1in")+COUNTIF(D22,"Nin")+COUNTIF(D22,"N1in")+COUNTIF(D22,"DN")+COUNTIF(D22,"TN")+COUNTIF(D22,"NM")+COUNTIF(D22,"DA")+COUNTIF(D22,"DA")+COUNTIF(L22,"D")+COUNTIF(L22,"D1")+COUNTIF(L22,"N")+COUNTIF(L22,"N1")+COUNTIF(L22,"Din")+COUNTIF(L22,"D1in")+COUNTIF(L22,"Nin")+COUNTIF(L22,"N1in")+COUNTIF(L22,"DN")+COUNTIF(L22,"TN")+COUNTIF(L22,"NM")+COUNTIF(L22,"DA")+COUNTIF(L22,"DA")+COUNTIF(P22,"D")+COUNTIF(P22,"D1")+COUNTIF(P22,"N")+COUNTIF(P22,"N1")+COUNTIF(P22,"Din")+COUNTIF(P22,"D1in")+COUNTIF(P22,"Nin")+COUNTIF(P22,"N1in")+COUNTIF(P22,"DN")+COUNTIF(P22,"TN")+COUNTIF(P22,"NM")+COUNTIF(P22,"DA")+COUNTIF(P22,"DA")+COUNTIF(X22,"D")+COUNTIF(X22,"D1")+COUNTIF(X22,"N")+COUNTIF(X22,"N1")+COUNTIF(X22,"Din")+COUNTIF(X22,"D1in")+COUNTIF(X22,"Nin")+COUNTIF(X22,"N1in")+COUNTIF(X22,"DN")+COUNTIF(X22,"TN")+COUNTIF(X22,"NM")+COUNTIF(X22,"DA")+COUNTIF(X22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2" s="58">
        <f t="shared" si="6"/>
        <v>8</v>
      </c>
    </row>
    <row r="23" spans="1:52" ht="19.5" customHeight="1" x14ac:dyDescent="0.25">
      <c r="A23" s="87">
        <v>14</v>
      </c>
      <c r="B23" s="88" t="s">
        <v>116</v>
      </c>
      <c r="C23" s="89">
        <v>1113514669</v>
      </c>
      <c r="D23" s="90" t="s">
        <v>18</v>
      </c>
      <c r="E23" s="91">
        <f t="shared" si="0"/>
        <v>0</v>
      </c>
      <c r="F23" s="92" t="s">
        <v>25</v>
      </c>
      <c r="G23" s="92" t="s">
        <v>26</v>
      </c>
      <c r="H23" s="92" t="s">
        <v>18</v>
      </c>
      <c r="I23" s="92" t="s">
        <v>23</v>
      </c>
      <c r="J23" s="92" t="s">
        <v>18</v>
      </c>
      <c r="K23" s="92" t="s">
        <v>18</v>
      </c>
      <c r="L23" s="92" t="s">
        <v>23</v>
      </c>
      <c r="M23" s="110">
        <v>44</v>
      </c>
      <c r="N23" s="205" t="s">
        <v>18</v>
      </c>
      <c r="O23" s="205" t="s">
        <v>18</v>
      </c>
      <c r="P23" s="205" t="s">
        <v>23</v>
      </c>
      <c r="Q23" s="198">
        <f t="shared" si="8"/>
        <v>12</v>
      </c>
      <c r="R23" s="94" t="s">
        <v>23</v>
      </c>
      <c r="S23" s="94" t="s">
        <v>25</v>
      </c>
      <c r="T23" s="94" t="s">
        <v>26</v>
      </c>
      <c r="U23" s="94" t="s">
        <v>18</v>
      </c>
      <c r="V23" s="94" t="s">
        <v>18</v>
      </c>
      <c r="W23" s="108" t="s">
        <v>18</v>
      </c>
      <c r="X23" s="208" t="s">
        <v>26</v>
      </c>
      <c r="Y23" s="97">
        <f t="shared" si="9"/>
        <v>44</v>
      </c>
      <c r="Z23" s="94" t="s">
        <v>26</v>
      </c>
      <c r="AA23" s="94" t="s">
        <v>18</v>
      </c>
      <c r="AB23" s="94" t="s">
        <v>23</v>
      </c>
      <c r="AC23" s="94" t="s">
        <v>27</v>
      </c>
      <c r="AD23" s="94" t="s">
        <v>18</v>
      </c>
      <c r="AE23" s="108" t="s">
        <v>18</v>
      </c>
      <c r="AF23" s="94" t="s">
        <v>23</v>
      </c>
      <c r="AG23" s="97">
        <f t="shared" si="3"/>
        <v>44</v>
      </c>
      <c r="AH23" s="94" t="s">
        <v>23</v>
      </c>
      <c r="AI23" s="94" t="s">
        <v>26</v>
      </c>
      <c r="AJ23" s="94" t="s">
        <v>18</v>
      </c>
      <c r="AK23" s="94" t="s">
        <v>41</v>
      </c>
      <c r="AL23" s="94" t="s">
        <v>41</v>
      </c>
      <c r="AM23" s="108" t="s">
        <v>18</v>
      </c>
      <c r="AN23" s="94" t="s">
        <v>25</v>
      </c>
      <c r="AO23" s="97">
        <f t="shared" si="4"/>
        <v>32</v>
      </c>
      <c r="AP23" s="94" t="s">
        <v>26</v>
      </c>
      <c r="AQ23" s="94" t="s">
        <v>18</v>
      </c>
      <c r="AR23" s="94" t="s">
        <v>29</v>
      </c>
      <c r="AS23" s="94" t="s">
        <v>23</v>
      </c>
      <c r="AT23" s="94" t="s">
        <v>18</v>
      </c>
      <c r="AU23" s="108" t="s">
        <v>18</v>
      </c>
      <c r="AV23" s="94" t="s">
        <v>26</v>
      </c>
      <c r="AW23" s="97">
        <f t="shared" si="5"/>
        <v>44</v>
      </c>
      <c r="AX23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23,"D")+COUNTIF(K23,"D1")+COUNTIF(K23,"N")+COUNTIF(K23,"N1")+COUNTIF(K23,"Din")+COUNTIF(K23,"D1in")+COUNTIF(K23,"Nin")+COUNTIF(K23,"N1in")+COUNTIF(K23,"DN")+COUNTIF(K23,"TN")+COUNTIF(K23,"NM")+COUNTIF(K23,"DA")+COUNTIF(K23,"DA")+COUNTIF(O23,"D")+COUNTIF(O23,"D1")+COUNTIF(O23,"N")+COUNTIF(O23,"N1")+COUNTIF(O23,"Din")+COUNTIF(O23,"D1in")+COUNTIF(O23,"Nin")+COUNTIF(O23,"N1in")+COUNTIF(O23,"DN")+COUNTIF(O23,"TN")+COUNTIF(O23,"NM")+COUNTIF(O23,"DA")+COUNTIF(O23,"DA")+COUNTIF(W23,"D")+COUNTIF(W23,"D1")+COUNTIF(W23,"N")+COUNTIF(W23,"N1")+COUNTIF(W23,"Din")+COUNTIF(W23,"D1in")+COUNTIF(W23,"Nin")+COUNTIF(W23,"N1in")+COUNTIF(W23,"DN")+COUNTIF(W23,"TN")+COUNTIF(W23,"NM")+COUNTIF(W23,"DA")+COUNTIF(W23,"DA")+COUNTIF(AU23,"D")+COUNTIF(AU23,"D1")+COUNTIF(AU23,"N")+COUNTIF(AU23,"N1")+COUNTIF(AU23,"Din")+COUNTIF(AU23,"D1in")+COUNTIF(AU23,"Nin")+COUNTIF(AU23,"N1in")+COUNTIF(AU23,"DN")+COUNTIF(AU23,"TN")+COUNTIF(AU23,"NM")+COUNTIF(AU23,"DA")+COUNTIF(AU23,"DA")</f>
        <v>#REF!</v>
      </c>
      <c r="AY23" s="75" t="e">
        <f>COUNTIF(D23,"D")+COUNTIF(D23,"D1")+COUNTIF(D23,"N")+COUNTIF(D23,"N1")+COUNTIF(D23,"Din")+COUNTIF(D23,"D1in")+COUNTIF(D23,"Nin")+COUNTIF(D23,"N1in")+COUNTIF(D23,"DN")+COUNTIF(D23,"TN")+COUNTIF(D23,"NM")+COUNTIF(D23,"DA")+COUNTIF(D23,"DA")+COUNTIF(L23,"D")+COUNTIF(L23,"D1")+COUNTIF(L23,"N")+COUNTIF(L23,"N1")+COUNTIF(L23,"Din")+COUNTIF(L23,"D1in")+COUNTIF(L23,"Nin")+COUNTIF(L23,"N1in")+COUNTIF(L23,"DN")+COUNTIF(L23,"TN")+COUNTIF(L23,"NM")+COUNTIF(L23,"DA")+COUNTIF(L23,"DA")+COUNTIF(P23,"D")+COUNTIF(P23,"D1")+COUNTIF(P23,"N")+COUNTIF(P23,"N1")+COUNTIF(P23,"Din")+COUNTIF(P23,"D1in")+COUNTIF(P23,"Nin")+COUNTIF(P23,"N1in")+COUNTIF(P23,"DN")+COUNTIF(P23,"TN")+COUNTIF(P23,"NM")+COUNTIF(P23,"DA")+COUNTIF(P23,"DA")+COUNTIF(X23,"D")+COUNTIF(X23,"D1")+COUNTIF(X23,"N")+COUNTIF(X23,"N1")+COUNTIF(X23,"Din")+COUNTIF(X23,"D1in")+COUNTIF(X23,"Nin")+COUNTIF(X23,"N1in")+COUNTIF(X23,"DN")+COUNTIF(X23,"TN")+COUNTIF(X23,"NM")+COUNTIF(X23,"DA")+COUNTIF(X23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3" s="58">
        <f t="shared" si="6"/>
        <v>6</v>
      </c>
    </row>
    <row r="24" spans="1:52" ht="19.5" customHeight="1" x14ac:dyDescent="0.25">
      <c r="A24" s="87">
        <v>15</v>
      </c>
      <c r="B24" s="88" t="s">
        <v>117</v>
      </c>
      <c r="C24" s="89">
        <v>1114839810</v>
      </c>
      <c r="D24" s="98" t="s">
        <v>26</v>
      </c>
      <c r="E24" s="91">
        <f t="shared" si="0"/>
        <v>12</v>
      </c>
      <c r="F24" s="92" t="s">
        <v>27</v>
      </c>
      <c r="G24" s="92" t="s">
        <v>18</v>
      </c>
      <c r="H24" s="92" t="s">
        <v>18</v>
      </c>
      <c r="I24" s="92" t="s">
        <v>26</v>
      </c>
      <c r="J24" s="92" t="s">
        <v>18</v>
      </c>
      <c r="K24" s="92" t="s">
        <v>23</v>
      </c>
      <c r="L24" s="92" t="s">
        <v>23</v>
      </c>
      <c r="M24" s="110">
        <v>44</v>
      </c>
      <c r="N24" s="205" t="s">
        <v>23</v>
      </c>
      <c r="O24" s="205" t="s">
        <v>18</v>
      </c>
      <c r="P24" s="205" t="s">
        <v>36</v>
      </c>
      <c r="Q24" s="198">
        <f t="shared" si="8"/>
        <v>12</v>
      </c>
      <c r="R24" s="208" t="s">
        <v>18</v>
      </c>
      <c r="S24" s="208" t="s">
        <v>27</v>
      </c>
      <c r="T24" s="208" t="s">
        <v>18</v>
      </c>
      <c r="U24" s="208" t="s">
        <v>26</v>
      </c>
      <c r="V24" s="208" t="s">
        <v>18</v>
      </c>
      <c r="W24" s="208" t="s">
        <v>23</v>
      </c>
      <c r="X24" s="208" t="s">
        <v>26</v>
      </c>
      <c r="Y24" s="111">
        <v>44</v>
      </c>
      <c r="Z24" s="208" t="s">
        <v>18</v>
      </c>
      <c r="AA24" s="208" t="s">
        <v>27</v>
      </c>
      <c r="AB24" s="208" t="s">
        <v>18</v>
      </c>
      <c r="AC24" s="208" t="s">
        <v>23</v>
      </c>
      <c r="AD24" s="208" t="s">
        <v>18</v>
      </c>
      <c r="AE24" s="208" t="s">
        <v>23</v>
      </c>
      <c r="AF24" s="208" t="s">
        <v>23</v>
      </c>
      <c r="AG24" s="111">
        <v>44</v>
      </c>
      <c r="AH24" s="208" t="s">
        <v>18</v>
      </c>
      <c r="AI24" s="208" t="s">
        <v>27</v>
      </c>
      <c r="AJ24" s="208" t="s">
        <v>18</v>
      </c>
      <c r="AK24" s="208" t="s">
        <v>26</v>
      </c>
      <c r="AL24" s="208" t="s">
        <v>18</v>
      </c>
      <c r="AM24" s="222" t="s">
        <v>23</v>
      </c>
      <c r="AN24" s="208" t="s">
        <v>26</v>
      </c>
      <c r="AO24" s="111">
        <v>44</v>
      </c>
      <c r="AP24" s="208" t="s">
        <v>18</v>
      </c>
      <c r="AQ24" s="208" t="s">
        <v>27</v>
      </c>
      <c r="AR24" s="208" t="s">
        <v>18</v>
      </c>
      <c r="AS24" s="208" t="s">
        <v>26</v>
      </c>
      <c r="AT24" s="208" t="s">
        <v>18</v>
      </c>
      <c r="AU24" s="208" t="s">
        <v>23</v>
      </c>
      <c r="AV24" s="208" t="s">
        <v>23</v>
      </c>
      <c r="AW24" s="111">
        <v>44</v>
      </c>
      <c r="AX24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24,"D")+COUNTIF(K24,"D1")+COUNTIF(K24,"N")+COUNTIF(K24,"N1")+COUNTIF(K24,"Din")+COUNTIF(K24,"D1in")+COUNTIF(K24,"Nin")+COUNTIF(K24,"N1in")+COUNTIF(K24,"DN")+COUNTIF(K24,"TN")+COUNTIF(K24,"NM")+COUNTIF(K24,"DA")+COUNTIF(K24,"DA")+COUNTIF(O24,"D")+COUNTIF(O24,"D1")+COUNTIF(O24,"N")+COUNTIF(O24,"N1")+COUNTIF(O24,"Din")+COUNTIF(O24,"D1in")+COUNTIF(O24,"Nin")+COUNTIF(O24,"N1in")+COUNTIF(O24,"DN")+COUNTIF(O24,"TN")+COUNTIF(O24,"NM")+COUNTIF(O24,"DA")+COUNTIF(O24,"DA")+COUNTIF(W24,"D")+COUNTIF(W24,"D1")+COUNTIF(W24,"N")+COUNTIF(W24,"N1")+COUNTIF(W24,"Din")+COUNTIF(W24,"D1in")+COUNTIF(W24,"Nin")+COUNTIF(W24,"N1in")+COUNTIF(W24,"DN")+COUNTIF(W24,"TN")+COUNTIF(W24,"NM")+COUNTIF(W24,"DA")+COUNTIF(W24,"DA")+COUNTIF(AU24,"D")+COUNTIF(AU24,"D1")+COUNTIF(AU24,"N")+COUNTIF(AU24,"N1")+COUNTIF(AU24,"Din")+COUNTIF(AU24,"D1in")+COUNTIF(AU24,"Nin")+COUNTIF(AU24,"N1in")+COUNTIF(AU24,"DN")+COUNTIF(AU24,"TN")+COUNTIF(AU24,"NM")+COUNTIF(AU24,"DA")+COUNTIF(AU24,"DA")</f>
        <v>#REF!</v>
      </c>
      <c r="AY24" s="75" t="e">
        <f>COUNTIF(D24,"D")+COUNTIF(D24,"D1")+COUNTIF(D24,"N")+COUNTIF(D24,"N1")+COUNTIF(D24,"Din")+COUNTIF(D24,"D1in")+COUNTIF(D24,"Nin")+COUNTIF(D24,"N1in")+COUNTIF(D24,"DN")+COUNTIF(D24,"TN")+COUNTIF(D24,"NM")+COUNTIF(D24,"DA")+COUNTIF(D24,"DA")+COUNTIF(L24,"D")+COUNTIF(L24,"D1")+COUNTIF(L24,"N")+COUNTIF(L24,"N1")+COUNTIF(L24,"Din")+COUNTIF(L24,"D1in")+COUNTIF(L24,"Nin")+COUNTIF(L24,"N1in")+COUNTIF(L24,"DN")+COUNTIF(L24,"TN")+COUNTIF(L24,"NM")+COUNTIF(L24,"DA")+COUNTIF(L24,"DA")+COUNTIF(P24,"D")+COUNTIF(P24,"D1")+COUNTIF(P24,"N")+COUNTIF(P24,"N1")+COUNTIF(P24,"Din")+COUNTIF(P24,"D1in")+COUNTIF(P24,"Nin")+COUNTIF(P24,"N1in")+COUNTIF(P24,"DN")+COUNTIF(P24,"TN")+COUNTIF(P24,"NM")+COUNTIF(P24,"DA")+COUNTIF(P24,"DA")+COUNTIF(X24,"D")+COUNTIF(X24,"D1")+COUNTIF(X24,"N")+COUNTIF(X24,"N1")+COUNTIF(X24,"Din")+COUNTIF(X24,"D1in")+COUNTIF(X24,"Nin")+COUNTIF(X24,"N1in")+COUNTIF(X24,"DN")+COUNTIF(X24,"TN")+COUNTIF(X24,"NM")+COUNTIF(X24,"DA")+COUNTIF(X24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4" s="58">
        <f t="shared" si="6"/>
        <v>7</v>
      </c>
    </row>
    <row r="25" spans="1:52" ht="19.5" customHeight="1" x14ac:dyDescent="0.25">
      <c r="A25" s="87">
        <v>16</v>
      </c>
      <c r="B25" s="230" t="s">
        <v>118</v>
      </c>
      <c r="C25" s="89">
        <v>1113681971</v>
      </c>
      <c r="D25" s="90" t="s">
        <v>23</v>
      </c>
      <c r="E25" s="91">
        <f t="shared" si="0"/>
        <v>12</v>
      </c>
      <c r="F25" s="92" t="s">
        <v>18</v>
      </c>
      <c r="G25" s="112" t="s">
        <v>27</v>
      </c>
      <c r="H25" s="92" t="s">
        <v>26</v>
      </c>
      <c r="I25" s="92" t="s">
        <v>18</v>
      </c>
      <c r="J25" s="92" t="s">
        <v>18</v>
      </c>
      <c r="K25" s="92" t="s">
        <v>23</v>
      </c>
      <c r="L25" s="92" t="s">
        <v>26</v>
      </c>
      <c r="M25" s="110">
        <v>44</v>
      </c>
      <c r="N25" s="205" t="s">
        <v>18</v>
      </c>
      <c r="O25" s="205" t="s">
        <v>23</v>
      </c>
      <c r="P25" s="205" t="s">
        <v>26</v>
      </c>
      <c r="Q25" s="201">
        <f t="shared" si="8"/>
        <v>24</v>
      </c>
      <c r="R25" s="206" t="s">
        <v>18</v>
      </c>
      <c r="S25" s="211" t="s">
        <v>27</v>
      </c>
      <c r="T25" s="211" t="s">
        <v>18</v>
      </c>
      <c r="U25" s="211" t="s">
        <v>26</v>
      </c>
      <c r="V25" s="211" t="s">
        <v>26</v>
      </c>
      <c r="W25" s="211" t="s">
        <v>18</v>
      </c>
      <c r="X25" s="211" t="s">
        <v>23</v>
      </c>
      <c r="Y25" s="93">
        <v>44</v>
      </c>
      <c r="Z25" s="211" t="s">
        <v>23</v>
      </c>
      <c r="AA25" s="211" t="s">
        <v>23</v>
      </c>
      <c r="AB25" s="211" t="s">
        <v>18</v>
      </c>
      <c r="AC25" s="211" t="s">
        <v>18</v>
      </c>
      <c r="AD25" s="211" t="s">
        <v>27</v>
      </c>
      <c r="AE25" s="211" t="s">
        <v>18</v>
      </c>
      <c r="AF25" s="90" t="s">
        <v>23</v>
      </c>
      <c r="AG25" s="111">
        <v>44</v>
      </c>
      <c r="AH25" s="211" t="s">
        <v>23</v>
      </c>
      <c r="AI25" s="211" t="s">
        <v>27</v>
      </c>
      <c r="AJ25" s="211" t="s">
        <v>26</v>
      </c>
      <c r="AK25" s="211" t="s">
        <v>18</v>
      </c>
      <c r="AL25" s="211" t="s">
        <v>18</v>
      </c>
      <c r="AM25" s="211" t="s">
        <v>18</v>
      </c>
      <c r="AN25" s="211" t="s">
        <v>26</v>
      </c>
      <c r="AO25" s="93">
        <v>44</v>
      </c>
      <c r="AP25" s="211" t="s">
        <v>18</v>
      </c>
      <c r="AQ25" s="211" t="s">
        <v>27</v>
      </c>
      <c r="AR25" s="211" t="s">
        <v>26</v>
      </c>
      <c r="AS25" s="211" t="s">
        <v>18</v>
      </c>
      <c r="AT25" s="211" t="s">
        <v>18</v>
      </c>
      <c r="AU25" s="211" t="s">
        <v>23</v>
      </c>
      <c r="AV25" s="226" t="s">
        <v>18</v>
      </c>
      <c r="AW25" s="93">
        <v>44</v>
      </c>
      <c r="AX25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25,"D")+COUNTIF(K25,"D1")+COUNTIF(K25,"N")+COUNTIF(K25,"N1")+COUNTIF(K25,"Din")+COUNTIF(K25,"D1in")+COUNTIF(K25,"Nin")+COUNTIF(K25,"N1in")+COUNTIF(K25,"DN")+COUNTIF(K25,"TN")+COUNTIF(K25,"NM")+COUNTIF(K25,"DA")+COUNTIF(K25,"DA")+COUNTIF(O25,"D")+COUNTIF(O25,"D1")+COUNTIF(O25,"N")+COUNTIF(O25,"N1")+COUNTIF(O25,"Din")+COUNTIF(O25,"D1in")+COUNTIF(O25,"Nin")+COUNTIF(O25,"N1in")+COUNTIF(O25,"DN")+COUNTIF(O25,"TN")+COUNTIF(O25,"NM")+COUNTIF(O25,"DA")+COUNTIF(O25,"DA")+COUNTIF(W25,"D")+COUNTIF(W25,"D1")+COUNTIF(W25,"N")+COUNTIF(W25,"N1")+COUNTIF(W25,"Din")+COUNTIF(W25,"D1in")+COUNTIF(W25,"Nin")+COUNTIF(W25,"N1in")+COUNTIF(W25,"DN")+COUNTIF(W25,"TN")+COUNTIF(W25,"NM")+COUNTIF(W25,"DA")+COUNTIF(W25,"DA")+COUNTIF(AU25,"D")+COUNTIF(AU25,"D1")+COUNTIF(AU25,"N")+COUNTIF(AU25,"N1")+COUNTIF(AU25,"Din")+COUNTIF(AU25,"D1in")+COUNTIF(AU25,"Nin")+COUNTIF(AU25,"N1in")+COUNTIF(AU25,"DN")+COUNTIF(AU25,"TN")+COUNTIF(AU25,"NM")+COUNTIF(AU25,"DA")+COUNTIF(AU25,"DA")</f>
        <v>#REF!</v>
      </c>
      <c r="AY25" s="75" t="e">
        <f>COUNTIF(D25,"D")+COUNTIF(D25,"D1")+COUNTIF(D25,"N")+COUNTIF(D25,"N1")+COUNTIF(D25,"Din")+COUNTIF(D25,"D1in")+COUNTIF(D25,"Nin")+COUNTIF(D25,"N1in")+COUNTIF(D25,"DN")+COUNTIF(D25,"TN")+COUNTIF(D25,"NM")+COUNTIF(D25,"DA")+COUNTIF(D25,"DA")+COUNTIF(L25,"D")+COUNTIF(L25,"D1")+COUNTIF(L25,"N")+COUNTIF(L25,"N1")+COUNTIF(L25,"Din")+COUNTIF(L25,"D1in")+COUNTIF(L25,"Nin")+COUNTIF(L25,"N1in")+COUNTIF(L25,"DN")+COUNTIF(L25,"TN")+COUNTIF(L25,"NM")+COUNTIF(L25,"DA")+COUNTIF(L25,"DA")+COUNTIF(P25,"D")+COUNTIF(P25,"D1")+COUNTIF(P25,"N")+COUNTIF(P25,"N1")+COUNTIF(P25,"Din")+COUNTIF(P25,"D1in")+COUNTIF(P25,"Nin")+COUNTIF(P25,"N1in")+COUNTIF(P25,"DN")+COUNTIF(P25,"TN")+COUNTIF(P25,"NM")+COUNTIF(P25,"DA")+COUNTIF(P25,"DA")+COUNTIF(X25,"D")+COUNTIF(X25,"D1")+COUNTIF(X25,"N")+COUNTIF(X25,"N1")+COUNTIF(X25,"Din")+COUNTIF(X25,"D1in")+COUNTIF(X25,"Nin")+COUNTIF(X25,"N1in")+COUNTIF(X25,"DN")+COUNTIF(X25,"TN")+COUNTIF(X25,"NM")+COUNTIF(X25,"DA")+COUNTIF(X25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5" s="58">
        <f t="shared" si="6"/>
        <v>8</v>
      </c>
    </row>
    <row r="26" spans="1:52" ht="19.5" customHeight="1" x14ac:dyDescent="0.25">
      <c r="A26" s="87">
        <v>17</v>
      </c>
      <c r="B26" s="88" t="s">
        <v>119</v>
      </c>
      <c r="C26" s="89">
        <v>1144046871</v>
      </c>
      <c r="D26" s="109" t="s">
        <v>36</v>
      </c>
      <c r="E26" s="91">
        <f t="shared" si="0"/>
        <v>0</v>
      </c>
      <c r="F26" s="92" t="s">
        <v>18</v>
      </c>
      <c r="G26" s="92" t="s">
        <v>23</v>
      </c>
      <c r="H26" s="92" t="s">
        <v>23</v>
      </c>
      <c r="I26" s="92" t="s">
        <v>26</v>
      </c>
      <c r="J26" s="92" t="s">
        <v>18</v>
      </c>
      <c r="K26" s="92" t="s">
        <v>25</v>
      </c>
      <c r="L26" s="92" t="s">
        <v>18</v>
      </c>
      <c r="M26" s="110">
        <v>44</v>
      </c>
      <c r="N26" s="205" t="s">
        <v>23</v>
      </c>
      <c r="O26" s="205" t="s">
        <v>18</v>
      </c>
      <c r="P26" s="205" t="s">
        <v>26</v>
      </c>
      <c r="Q26" s="128">
        <f t="shared" si="8"/>
        <v>24</v>
      </c>
      <c r="R26" s="213" t="s">
        <v>18</v>
      </c>
      <c r="S26" s="214" t="s">
        <v>23</v>
      </c>
      <c r="T26" s="100" t="s">
        <v>23</v>
      </c>
      <c r="U26" s="100" t="s">
        <v>26</v>
      </c>
      <c r="V26" s="100" t="s">
        <v>18</v>
      </c>
      <c r="W26" s="100" t="s">
        <v>25</v>
      </c>
      <c r="X26" s="214" t="s">
        <v>26</v>
      </c>
      <c r="Y26" s="101">
        <f t="shared" ref="Y26:Y27" si="10">COUNTIF(R26:X26,"D")*12+COUNTIF(R26:X26,"D1")*11+COUNTIF(R26:X26,"N")*12+COUNTIF(R26:X26,"N1")*11+COUNTIF(R26:X26,"Din")*12+COUNTIF(R26:X26,"D1in")*11+COUNTIF(R26:X26,"Nin")*12+COUNTIF(R26:X26,"N1in")*11+COUNTIF(R26:X26,"M8")*8+COUNTIF(R26:X26,"T8")*8+COUNTIF(R26:X26,"N8")*8</f>
        <v>56</v>
      </c>
      <c r="Z26" s="214" t="s">
        <v>18</v>
      </c>
      <c r="AA26" s="100" t="s">
        <v>18</v>
      </c>
      <c r="AB26" s="100" t="s">
        <v>18</v>
      </c>
      <c r="AC26" s="219" t="s">
        <v>23</v>
      </c>
      <c r="AD26" s="100" t="s">
        <v>26</v>
      </c>
      <c r="AE26" s="100" t="s">
        <v>18</v>
      </c>
      <c r="AF26" s="100" t="s">
        <v>27</v>
      </c>
      <c r="AG26" s="101">
        <f t="shared" ref="AG26:AG56" si="11">COUNTIF(Z26:AF26,"D")*12+COUNTIF(Z26:AF26,"D1")*11+COUNTIF(Z26:AF26,"N")*12+COUNTIF(Z26:AF26,"N1")*11+COUNTIF(Z26:AF26,"Din")*12+COUNTIF(Z26:AF26,"D1in")*11+COUNTIF(Z26:AF26,"Nin")*12+COUNTIF(Z26:AF26,"N1in")*11+COUNTIF(Z26:AF26,"M8")*8+COUNTIF(Z26:AF26,"T8")*8+COUNTIF(Z26:AF26,"N8")*8</f>
        <v>32</v>
      </c>
      <c r="AH26" s="100" t="s">
        <v>26</v>
      </c>
      <c r="AI26" s="100" t="s">
        <v>18</v>
      </c>
      <c r="AJ26" s="100" t="s">
        <v>18</v>
      </c>
      <c r="AK26" s="100" t="s">
        <v>23</v>
      </c>
      <c r="AL26" s="100" t="s">
        <v>27</v>
      </c>
      <c r="AM26" s="100" t="s">
        <v>23</v>
      </c>
      <c r="AN26" s="100" t="s">
        <v>18</v>
      </c>
      <c r="AO26" s="101">
        <f t="shared" ref="AO26:AO56" si="12">COUNTIF(AH26:AN26,"D")*12+COUNTIF(AH26:AN26,"D1")*11+COUNTIF(AH26:AN26,"N")*12+COUNTIF(AH26:AN26,"N1")*11+COUNTIF(AH26:AN26,"Din")*12+COUNTIF(AH26:AN26,"D1in")*11+COUNTIF(AH26:AN26,"Nin")*12+COUNTIF(AH26:AN26,"N1in")*11+COUNTIF(AH26:AN26,"M8")*8+COUNTIF(AH26:AN26,"T8")*8+COUNTIF(AH26:AN26,"N8")*8</f>
        <v>44</v>
      </c>
      <c r="AP26" s="100" t="s">
        <v>18</v>
      </c>
      <c r="AQ26" s="105" t="s">
        <v>18</v>
      </c>
      <c r="AR26" s="90" t="s">
        <v>26</v>
      </c>
      <c r="AS26" s="113" t="s">
        <v>18</v>
      </c>
      <c r="AT26" s="100" t="s">
        <v>23</v>
      </c>
      <c r="AU26" s="100" t="s">
        <v>23</v>
      </c>
      <c r="AV26" s="227" t="s">
        <v>27</v>
      </c>
      <c r="AW26" s="101">
        <f t="shared" ref="AW26:AW56" si="13">COUNTIF(AP26:AV26,"D")*12+COUNTIF(AP26:AV26,"D1")*11+COUNTIF(AP26:AV26,"N")*12+COUNTIF(AP26:AV26,"N1")*11+COUNTIF(AP26:AV26,"Din")*12+COUNTIF(AP26:AV26,"D1in")*11+COUNTIF(AP26:AV26,"Nin")*12+COUNTIF(AP26:AV26,"N1in")*11+COUNTIF(AP26:AV26,"M8")*8+COUNTIF(AP26:AV26,"T8")*8+COUNTIF(AP26:AV26,"N8")*8</f>
        <v>44</v>
      </c>
      <c r="AX26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26,"D")+COUNTIF(K26,"D1")+COUNTIF(K26,"N")+COUNTIF(K26,"N1")+COUNTIF(K26,"Din")+COUNTIF(K26,"D1in")+COUNTIF(K26,"Nin")+COUNTIF(K26,"N1in")+COUNTIF(K26,"DN")+COUNTIF(K26,"TN")+COUNTIF(K26,"NM")+COUNTIF(K26,"DA")+COUNTIF(K26,"DA")+COUNTIF(O26,"D")+COUNTIF(O26,"D1")+COUNTIF(O26,"N")+COUNTIF(O26,"N1")+COUNTIF(O26,"Din")+COUNTIF(O26,"D1in")+COUNTIF(O26,"Nin")+COUNTIF(O26,"N1in")+COUNTIF(O26,"DN")+COUNTIF(O26,"TN")+COUNTIF(O26,"NM")+COUNTIF(O26,"DA")+COUNTIF(O26,"DA")+COUNTIF(W26,"D")+COUNTIF(W26,"D1")+COUNTIF(W26,"N")+COUNTIF(W26,"N1")+COUNTIF(W26,"Din")+COUNTIF(W26,"D1in")+COUNTIF(W26,"Nin")+COUNTIF(W26,"N1in")+COUNTIF(W26,"DN")+COUNTIF(W26,"TN")+COUNTIF(W26,"NM")+COUNTIF(W26,"DA")+COUNTIF(W26,"DA")+COUNTIF(AU26,"D")+COUNTIF(AU26,"D1")+COUNTIF(AU26,"N")+COUNTIF(AU26,"N1")+COUNTIF(AU26,"Din")+COUNTIF(AU26,"D1in")+COUNTIF(AU26,"Nin")+COUNTIF(AU26,"N1in")+COUNTIF(AU26,"DN")+COUNTIF(AU26,"TN")+COUNTIF(AU26,"NM")+COUNTIF(AU26,"DA")+COUNTIF(AU26,"DA")</f>
        <v>#REF!</v>
      </c>
      <c r="AY26" s="75" t="e">
        <f>COUNTIF(D26,"D")+COUNTIF(D26,"D1")+COUNTIF(D26,"N")+COUNTIF(D26,"N1")+COUNTIF(D26,"Din")+COUNTIF(D26,"D1in")+COUNTIF(D26,"Nin")+COUNTIF(D26,"N1in")+COUNTIF(D26,"DN")+COUNTIF(D26,"TN")+COUNTIF(D26,"NM")+COUNTIF(D26,"DA")+COUNTIF(D26,"DA")+COUNTIF(L26,"D")+COUNTIF(L26,"D1")+COUNTIF(L26,"N")+COUNTIF(L26,"N1")+COUNTIF(L26,"Din")+COUNTIF(L26,"D1in")+COUNTIF(L26,"Nin")+COUNTIF(L26,"N1in")+COUNTIF(L26,"DN")+COUNTIF(L26,"TN")+COUNTIF(L26,"NM")+COUNTIF(L26,"DA")+COUNTIF(L26,"DA")+COUNTIF(P26,"D")+COUNTIF(P26,"D1")+COUNTIF(P26,"N")+COUNTIF(P26,"N1")+COUNTIF(P26,"Din")+COUNTIF(P26,"D1in")+COUNTIF(P26,"Nin")+COUNTIF(P26,"N1in")+COUNTIF(P26,"DN")+COUNTIF(P26,"TN")+COUNTIF(P26,"NM")+COUNTIF(P26,"DA")+COUNTIF(P26,"DA")+COUNTIF(X26,"D")+COUNTIF(X26,"D1")+COUNTIF(X26,"N")+COUNTIF(X26,"N1")+COUNTIF(X26,"Din")+COUNTIF(X26,"D1in")+COUNTIF(X26,"Nin")+COUNTIF(X26,"N1in")+COUNTIF(X26,"DN")+COUNTIF(X26,"TN")+COUNTIF(X26,"NM")+COUNTIF(X26,"DA")+COUNTIF(X26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6" s="58">
        <f t="shared" si="6"/>
        <v>7</v>
      </c>
    </row>
    <row r="27" spans="1:52" ht="19.5" customHeight="1" x14ac:dyDescent="0.25">
      <c r="A27" s="87">
        <v>18</v>
      </c>
      <c r="B27" s="88" t="s">
        <v>120</v>
      </c>
      <c r="C27" s="89">
        <v>1003994843</v>
      </c>
      <c r="D27" s="90" t="s">
        <v>23</v>
      </c>
      <c r="E27" s="91">
        <f t="shared" si="0"/>
        <v>12</v>
      </c>
      <c r="F27" s="92" t="s">
        <v>26</v>
      </c>
      <c r="G27" s="92" t="s">
        <v>26</v>
      </c>
      <c r="H27" s="92" t="s">
        <v>18</v>
      </c>
      <c r="I27" s="92" t="s">
        <v>18</v>
      </c>
      <c r="J27" s="92" t="s">
        <v>27</v>
      </c>
      <c r="K27" s="92" t="s">
        <v>26</v>
      </c>
      <c r="L27" s="92" t="s">
        <v>18</v>
      </c>
      <c r="M27" s="110">
        <v>44</v>
      </c>
      <c r="N27" s="205" t="s">
        <v>29</v>
      </c>
      <c r="O27" s="205" t="s">
        <v>23</v>
      </c>
      <c r="P27" s="205" t="s">
        <v>18</v>
      </c>
      <c r="Q27" s="198">
        <f t="shared" si="8"/>
        <v>20</v>
      </c>
      <c r="R27" s="94" t="s">
        <v>18</v>
      </c>
      <c r="S27" s="94" t="s">
        <v>23</v>
      </c>
      <c r="T27" s="94" t="s">
        <v>26</v>
      </c>
      <c r="U27" s="94" t="s">
        <v>18</v>
      </c>
      <c r="V27" s="94" t="s">
        <v>27</v>
      </c>
      <c r="W27" s="94" t="s">
        <v>26</v>
      </c>
      <c r="X27" s="208" t="s">
        <v>25</v>
      </c>
      <c r="Y27" s="97">
        <f t="shared" si="10"/>
        <v>52</v>
      </c>
      <c r="Z27" s="94" t="s">
        <v>18</v>
      </c>
      <c r="AA27" s="94" t="s">
        <v>26</v>
      </c>
      <c r="AB27" s="94" t="s">
        <v>18</v>
      </c>
      <c r="AC27" s="94" t="s">
        <v>18</v>
      </c>
      <c r="AD27" s="94" t="s">
        <v>26</v>
      </c>
      <c r="AE27" s="94" t="s">
        <v>18</v>
      </c>
      <c r="AF27" s="94" t="s">
        <v>23</v>
      </c>
      <c r="AG27" s="95">
        <f t="shared" si="11"/>
        <v>36</v>
      </c>
      <c r="AH27" s="94" t="s">
        <v>18</v>
      </c>
      <c r="AI27" s="94" t="s">
        <v>23</v>
      </c>
      <c r="AJ27" s="94" t="s">
        <v>18</v>
      </c>
      <c r="AK27" s="94" t="s">
        <v>26</v>
      </c>
      <c r="AL27" s="94" t="s">
        <v>26</v>
      </c>
      <c r="AM27" s="94" t="s">
        <v>18</v>
      </c>
      <c r="AN27" s="94" t="s">
        <v>29</v>
      </c>
      <c r="AO27" s="95">
        <f t="shared" si="12"/>
        <v>44</v>
      </c>
      <c r="AP27" s="94" t="s">
        <v>26</v>
      </c>
      <c r="AQ27" s="108" t="s">
        <v>18</v>
      </c>
      <c r="AR27" s="90" t="s">
        <v>23</v>
      </c>
      <c r="AS27" s="116" t="s">
        <v>26</v>
      </c>
      <c r="AT27" s="94" t="s">
        <v>18</v>
      </c>
      <c r="AU27" s="94" t="s">
        <v>29</v>
      </c>
      <c r="AV27" s="115" t="s">
        <v>18</v>
      </c>
      <c r="AW27" s="95">
        <f t="shared" si="13"/>
        <v>44</v>
      </c>
      <c r="AX27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27,"D")+COUNTIF(K27,"D1")+COUNTIF(K27,"N")+COUNTIF(K27,"N1")+COUNTIF(K27,"Din")+COUNTIF(K27,"D1in")+COUNTIF(K27,"Nin")+COUNTIF(K27,"N1in")+COUNTIF(K27,"DN")+COUNTIF(K27,"TN")+COUNTIF(K27,"NM")+COUNTIF(K27,"DA")+COUNTIF(K27,"DA")+COUNTIF(O27,"D")+COUNTIF(O27,"D1")+COUNTIF(O27,"N")+COUNTIF(O27,"N1")+COUNTIF(O27,"Din")+COUNTIF(O27,"D1in")+COUNTIF(O27,"Nin")+COUNTIF(O27,"N1in")+COUNTIF(O27,"DN")+COUNTIF(O27,"TN")+COUNTIF(O27,"NM")+COUNTIF(O27,"DA")+COUNTIF(O27,"DA")+COUNTIF(W27,"D")+COUNTIF(W27,"D1")+COUNTIF(W27,"N")+COUNTIF(W27,"N1")+COUNTIF(W27,"Din")+COUNTIF(W27,"D1in")+COUNTIF(W27,"Nin")+COUNTIF(W27,"N1in")+COUNTIF(W27,"DN")+COUNTIF(W27,"TN")+COUNTIF(W27,"NM")+COUNTIF(W27,"DA")+COUNTIF(W27,"DA")+COUNTIF(AU27,"D")+COUNTIF(AU27,"D1")+COUNTIF(AU27,"N")+COUNTIF(AU27,"N1")+COUNTIF(AU27,"Din")+COUNTIF(AU27,"D1in")+COUNTIF(AU27,"Nin")+COUNTIF(AU27,"N1in")+COUNTIF(AU27,"DN")+COUNTIF(AU27,"TN")+COUNTIF(AU27,"NM")+COUNTIF(AU27,"DA")+COUNTIF(AU27,"DA")</f>
        <v>#REF!</v>
      </c>
      <c r="AY27" s="75" t="e">
        <f>COUNTIF(D27,"D")+COUNTIF(D27,"D1")+COUNTIF(D27,"N")+COUNTIF(D27,"N1")+COUNTIF(D27,"Din")+COUNTIF(D27,"D1in")+COUNTIF(D27,"Nin")+COUNTIF(D27,"N1in")+COUNTIF(D27,"DN")+COUNTIF(D27,"TN")+COUNTIF(D27,"NM")+COUNTIF(D27,"DA")+COUNTIF(D27,"DA")+COUNTIF(L27,"D")+COUNTIF(L27,"D1")+COUNTIF(L27,"N")+COUNTIF(L27,"N1")+COUNTIF(L27,"Din")+COUNTIF(L27,"D1in")+COUNTIF(L27,"Nin")+COUNTIF(L27,"N1in")+COUNTIF(L27,"DN")+COUNTIF(L27,"TN")+COUNTIF(L27,"NM")+COUNTIF(L27,"DA")+COUNTIF(L27,"DA")+COUNTIF(P27,"D")+COUNTIF(P27,"D1")+COUNTIF(P27,"N")+COUNTIF(P27,"N1")+COUNTIF(P27,"Din")+COUNTIF(P27,"D1in")+COUNTIF(P27,"Nin")+COUNTIF(P27,"N1in")+COUNTIF(P27,"DN")+COUNTIF(P27,"TN")+COUNTIF(P27,"NM")+COUNTIF(P27,"DA")+COUNTIF(P27,"DA")+COUNTIF(X27,"D")+COUNTIF(X27,"D1")+COUNTIF(X27,"N")+COUNTIF(X27,"N1")+COUNTIF(X27,"Din")+COUNTIF(X27,"D1in")+COUNTIF(X27,"Nin")+COUNTIF(X27,"N1in")+COUNTIF(X27,"DN")+COUNTIF(X27,"TN")+COUNTIF(X27,"NM")+COUNTIF(X27,"DA")+COUNTIF(X27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7" s="58">
        <f t="shared" si="6"/>
        <v>11</v>
      </c>
    </row>
    <row r="28" spans="1:52" ht="19.5" customHeight="1" x14ac:dyDescent="0.25">
      <c r="A28" s="87">
        <v>19</v>
      </c>
      <c r="B28" s="117" t="s">
        <v>121</v>
      </c>
      <c r="C28" s="118">
        <v>1113979595</v>
      </c>
      <c r="D28" s="90" t="s">
        <v>69</v>
      </c>
      <c r="E28" s="91">
        <f t="shared" si="0"/>
        <v>11</v>
      </c>
      <c r="F28" s="92" t="s">
        <v>18</v>
      </c>
      <c r="G28" s="92" t="s">
        <v>27</v>
      </c>
      <c r="H28" s="92" t="s">
        <v>18</v>
      </c>
      <c r="I28" s="92" t="s">
        <v>23</v>
      </c>
      <c r="J28" s="92" t="s">
        <v>26</v>
      </c>
      <c r="K28" s="92" t="s">
        <v>18</v>
      </c>
      <c r="L28" s="92" t="s">
        <v>23</v>
      </c>
      <c r="M28" s="110">
        <v>44</v>
      </c>
      <c r="N28" s="205" t="s">
        <v>26</v>
      </c>
      <c r="O28" s="205" t="s">
        <v>18</v>
      </c>
      <c r="P28" s="205" t="s">
        <v>26</v>
      </c>
      <c r="Q28" s="199">
        <v>44</v>
      </c>
      <c r="R28" s="206" t="s">
        <v>18</v>
      </c>
      <c r="S28" s="90" t="s">
        <v>27</v>
      </c>
      <c r="T28" s="90" t="s">
        <v>18</v>
      </c>
      <c r="U28" s="90" t="s">
        <v>23</v>
      </c>
      <c r="V28" s="90" t="s">
        <v>26</v>
      </c>
      <c r="W28" s="90" t="s">
        <v>18</v>
      </c>
      <c r="X28" s="211" t="s">
        <v>26</v>
      </c>
      <c r="Y28" s="93">
        <v>44</v>
      </c>
      <c r="Z28" s="90" t="s">
        <v>18</v>
      </c>
      <c r="AA28" s="90" t="s">
        <v>25</v>
      </c>
      <c r="AB28" s="90" t="s">
        <v>18</v>
      </c>
      <c r="AC28" s="90" t="s">
        <v>23</v>
      </c>
      <c r="AD28" s="90" t="s">
        <v>26</v>
      </c>
      <c r="AE28" s="90" t="s">
        <v>18</v>
      </c>
      <c r="AF28" s="90" t="s">
        <v>26</v>
      </c>
      <c r="AG28" s="95">
        <f t="shared" si="11"/>
        <v>44</v>
      </c>
      <c r="AH28" s="90" t="s">
        <v>25</v>
      </c>
      <c r="AI28" s="90" t="s">
        <v>18</v>
      </c>
      <c r="AJ28" s="90" t="s">
        <v>18</v>
      </c>
      <c r="AK28" s="90" t="s">
        <v>23</v>
      </c>
      <c r="AL28" s="90" t="s">
        <v>26</v>
      </c>
      <c r="AM28" s="90" t="s">
        <v>18</v>
      </c>
      <c r="AN28" s="90" t="s">
        <v>23</v>
      </c>
      <c r="AO28" s="95">
        <f t="shared" si="12"/>
        <v>44</v>
      </c>
      <c r="AP28" s="90" t="s">
        <v>27</v>
      </c>
      <c r="AQ28" s="90" t="s">
        <v>18</v>
      </c>
      <c r="AR28" s="100" t="s">
        <v>26</v>
      </c>
      <c r="AS28" s="90" t="s">
        <v>18</v>
      </c>
      <c r="AT28" s="90" t="s">
        <v>18</v>
      </c>
      <c r="AU28" s="90" t="s">
        <v>23</v>
      </c>
      <c r="AV28" s="90" t="s">
        <v>26</v>
      </c>
      <c r="AW28" s="95">
        <f t="shared" si="13"/>
        <v>44</v>
      </c>
      <c r="AX28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28,"D")+COUNTIF(K28,"D1")+COUNTIF(K28,"N")+COUNTIF(K28,"N1")+COUNTIF(K28,"Din")+COUNTIF(K28,"D1in")+COUNTIF(K28,"Nin")+COUNTIF(K28,"N1in")+COUNTIF(K28,"DN")+COUNTIF(K28,"TN")+COUNTIF(K28,"NM")+COUNTIF(K28,"DA")+COUNTIF(K28,"DA")+COUNTIF(O37,"D")+COUNTIF(O37,"D1")+COUNTIF(O37,"N")+COUNTIF(O37,"N1")+COUNTIF(O37,"Din")+COUNTIF(O37,"D1in")+COUNTIF(O37,"Nin")+COUNTIF(O37,"N1in")+COUNTIF(O37,"DN")+COUNTIF(O37,"TN")+COUNTIF(O37,"NM")+COUNTIF(O37,"DA")+COUNTIF(O37,"DA")+COUNTIF(W37,"D")+COUNTIF(W37,"D1")+COUNTIF(W37,"N")+COUNTIF(W37,"N1")+COUNTIF(W37,"Din")+COUNTIF(W37,"D1in")+COUNTIF(W37,"Nin")+COUNTIF(W37,"N1in")+COUNTIF(W37,"DN")+COUNTIF(W37,"TN")+COUNTIF(W37,"NM")+COUNTIF(W37,"DA")+COUNTIF(W37,"DA")+COUNTIF(AU37,"D")+COUNTIF(AU37,"D1")+COUNTIF(AU37,"N")+COUNTIF(AU37,"N1")+COUNTIF(AU37,"Din")+COUNTIF(AU37,"D1in")+COUNTIF(AU37,"Nin")+COUNTIF(AU37,"N1in")+COUNTIF(AU37,"DN")+COUNTIF(AU37,"TN")+COUNTIF(AU37,"NM")+COUNTIF(AU37,"DA")+COUNTIF(AU37,"DA")</f>
        <v>#REF!</v>
      </c>
      <c r="AY28" s="75" t="e">
        <f>COUNTIF(D28,"D")+COUNTIF(D28,"D1")+COUNTIF(D28,"N")+COUNTIF(D28,"N1")+COUNTIF(D28,"Din")+COUNTIF(D28,"D1in")+COUNTIF(D28,"Nin")+COUNTIF(D28,"N1in")+COUNTIF(D28,"DN")+COUNTIF(D28,"TN")+COUNTIF(D28,"NM")+COUNTIF(D28,"DA")+COUNTIF(D28,"DA")+COUNTIF(L28,"D")+COUNTIF(L28,"D1")+COUNTIF(L28,"N")+COUNTIF(L28,"N1")+COUNTIF(L28,"Din")+COUNTIF(L28,"D1in")+COUNTIF(L28,"Nin")+COUNTIF(L28,"N1in")+COUNTIF(L28,"DN")+COUNTIF(L28,"TN")+COUNTIF(L28,"NM")+COUNTIF(L28,"DA")+COUNTIF(L28,"DA")+COUNTIF(P37,"D")+COUNTIF(P37,"D1")+COUNTIF(P37,"N")+COUNTIF(P37,"N1")+COUNTIF(P37,"Din")+COUNTIF(P37,"D1in")+COUNTIF(P37,"Nin")+COUNTIF(P37,"N1in")+COUNTIF(P37,"DN")+COUNTIF(P37,"TN")+COUNTIF(P37,"NM")+COUNTIF(P37,"DA")+COUNTIF(P37,"DA")+COUNTIF(X37,"D")+COUNTIF(X37,"D1")+COUNTIF(X37,"N")+COUNTIF(X37,"N1")+COUNTIF(X37,"Din")+COUNTIF(X37,"D1in")+COUNTIF(X37,"Nin")+COUNTIF(X37,"N1in")+COUNTIF(X37,"DN")+COUNTIF(X37,"TN")+COUNTIF(X37,"NM")+COUNTIF(X37,"DA")+COUNTIF(X37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8" s="58">
        <f t="shared" si="6"/>
        <v>9</v>
      </c>
    </row>
    <row r="29" spans="1:52" ht="19.5" customHeight="1" x14ac:dyDescent="0.25">
      <c r="A29" s="87">
        <v>20</v>
      </c>
      <c r="B29" s="88" t="s">
        <v>122</v>
      </c>
      <c r="C29" s="89">
        <v>1114833376</v>
      </c>
      <c r="D29" s="119" t="s">
        <v>18</v>
      </c>
      <c r="E29" s="91">
        <f t="shared" si="0"/>
        <v>0</v>
      </c>
      <c r="F29" s="92" t="s">
        <v>18</v>
      </c>
      <c r="G29" s="92" t="s">
        <v>18</v>
      </c>
      <c r="H29" s="92" t="s">
        <v>23</v>
      </c>
      <c r="I29" s="92" t="s">
        <v>25</v>
      </c>
      <c r="J29" s="92" t="s">
        <v>18</v>
      </c>
      <c r="K29" s="92" t="s">
        <v>26</v>
      </c>
      <c r="L29" s="92" t="s">
        <v>18</v>
      </c>
      <c r="M29" s="110">
        <v>32</v>
      </c>
      <c r="N29" s="205" t="s">
        <v>23</v>
      </c>
      <c r="O29" s="205" t="s">
        <v>26</v>
      </c>
      <c r="P29" s="205" t="s">
        <v>18</v>
      </c>
      <c r="Q29" s="200">
        <f>COUNTIF(N29:P29,"D")*12+COUNTIF(N29:P29,"D1")*11+COUNTIF(N29:P29,"N")*12+COUNTIF(N29:P29,"N1")*11+COUNTIF(N29:P29,"Din")*12+COUNTIF(N29:P29,"D1in")*11+COUNTIF(N29:P29,"Nin")*12+COUNTIF(N29:P29,"N1in")*11+COUNTIF(N29:P29,"M8")*8+COUNTIF(N29:P29,"T8")*8+COUNTIF(N29:P29,"N8")*8</f>
        <v>24</v>
      </c>
      <c r="R29" s="100" t="s">
        <v>26</v>
      </c>
      <c r="S29" s="100" t="s">
        <v>18</v>
      </c>
      <c r="T29" s="100" t="s">
        <v>18</v>
      </c>
      <c r="U29" s="100" t="s">
        <v>23</v>
      </c>
      <c r="V29" s="100" t="s">
        <v>18</v>
      </c>
      <c r="W29" s="100" t="s">
        <v>27</v>
      </c>
      <c r="X29" s="100" t="s">
        <v>23</v>
      </c>
      <c r="Y29" s="101">
        <f t="shared" ref="Y29:Y33" si="14">COUNTIF(R29:X29,"D")*12+COUNTIF(R29:X29,"D1")*11+COUNTIF(R29:X29,"N")*12+COUNTIF(R29:X29,"N1")*11+COUNTIF(R29:X29,"Din")*12+COUNTIF(R29:X29,"D1in")*11+COUNTIF(R29:X29,"Nin")*12+COUNTIF(R29:X29,"N1in")*11+COUNTIF(R29:X29,"M8")*8+COUNTIF(R29:X29,"T8")*8+COUNTIF(R29:X29,"N8")*8</f>
        <v>44</v>
      </c>
      <c r="Z29" s="100" t="s">
        <v>26</v>
      </c>
      <c r="AA29" s="100" t="s">
        <v>18</v>
      </c>
      <c r="AB29" s="100" t="s">
        <v>26</v>
      </c>
      <c r="AC29" s="100" t="s">
        <v>18</v>
      </c>
      <c r="AD29" s="100" t="s">
        <v>18</v>
      </c>
      <c r="AE29" s="220" t="s">
        <v>36</v>
      </c>
      <c r="AF29" s="100" t="s">
        <v>26</v>
      </c>
      <c r="AG29" s="95">
        <f t="shared" si="11"/>
        <v>36</v>
      </c>
      <c r="AH29" s="100" t="s">
        <v>18</v>
      </c>
      <c r="AI29" s="100" t="s">
        <v>18</v>
      </c>
      <c r="AJ29" s="100" t="s">
        <v>23</v>
      </c>
      <c r="AK29" s="100" t="s">
        <v>26</v>
      </c>
      <c r="AL29" s="100" t="s">
        <v>18</v>
      </c>
      <c r="AM29" s="100" t="s">
        <v>23</v>
      </c>
      <c r="AN29" s="100" t="s">
        <v>27</v>
      </c>
      <c r="AO29" s="95">
        <f t="shared" si="12"/>
        <v>44</v>
      </c>
      <c r="AP29" s="100" t="s">
        <v>26</v>
      </c>
      <c r="AQ29" s="100" t="s">
        <v>18</v>
      </c>
      <c r="AR29" s="100" t="s">
        <v>18</v>
      </c>
      <c r="AS29" s="219" t="s">
        <v>23</v>
      </c>
      <c r="AT29" s="100" t="s">
        <v>25</v>
      </c>
      <c r="AU29" s="100" t="s">
        <v>18</v>
      </c>
      <c r="AV29" s="100" t="s">
        <v>23</v>
      </c>
      <c r="AW29" s="95">
        <f t="shared" si="13"/>
        <v>44</v>
      </c>
      <c r="AX29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29,"D")+COUNTIF(K29,"D1")+COUNTIF(K29,"N")+COUNTIF(K29,"N1")+COUNTIF(K29,"Din")+COUNTIF(K29,"D1in")+COUNTIF(K29,"Nin")+COUNTIF(K29,"N1in")+COUNTIF(K29,"DN")+COUNTIF(K29,"TN")+COUNTIF(K29,"NM")+COUNTIF(K29,"DA")+COUNTIF(K29,"DA")+COUNTIF(O29,"D")+COUNTIF(O29,"D1")+COUNTIF(O29,"N")+COUNTIF(O29,"N1")+COUNTIF(O29,"Din")+COUNTIF(O29,"D1in")+COUNTIF(O29,"Nin")+COUNTIF(O29,"N1in")+COUNTIF(O29,"DN")+COUNTIF(O29,"TN")+COUNTIF(O29,"NM")+COUNTIF(O29,"DA")+COUNTIF(O29,"DA")+COUNTIF(W29,"D")+COUNTIF(W29,"D1")+COUNTIF(W29,"N")+COUNTIF(W29,"N1")+COUNTIF(W29,"Din")+COUNTIF(W29,"D1in")+COUNTIF(W29,"Nin")+COUNTIF(W29,"N1in")+COUNTIF(W29,"DN")+COUNTIF(W29,"TN")+COUNTIF(W29,"NM")+COUNTIF(W29,"DA")+COUNTIF(W29,"DA")+COUNTIF(AU29,"D")+COUNTIF(AU29,"D1")+COUNTIF(AU29,"N")+COUNTIF(AU29,"N1")+COUNTIF(AU29,"Din")+COUNTIF(AU29,"D1in")+COUNTIF(AU29,"Nin")+COUNTIF(AU29,"N1in")+COUNTIF(AU29,"DN")+COUNTIF(AU29,"TN")+COUNTIF(AU29,"NM")+COUNTIF(AU29,"DA")+COUNTIF(AU29,"DA")</f>
        <v>#REF!</v>
      </c>
      <c r="AY29" s="75" t="e">
        <f>COUNTIF(D29,"D")+COUNTIF(D29,"D1")+COUNTIF(D29,"N")+COUNTIF(D29,"N1")+COUNTIF(D29,"Din")+COUNTIF(D29,"D1in")+COUNTIF(D29,"Nin")+COUNTIF(D29,"N1in")+COUNTIF(D29,"DN")+COUNTIF(D29,"TN")+COUNTIF(D29,"NM")+COUNTIF(D29,"DA")+COUNTIF(D29,"DA")+COUNTIF(L29,"D")+COUNTIF(L29,"D1")+COUNTIF(L29,"N")+COUNTIF(L29,"N1")+COUNTIF(L29,"Din")+COUNTIF(L29,"D1in")+COUNTIF(L29,"Nin")+COUNTIF(L29,"N1in")+COUNTIF(L29,"DN")+COUNTIF(L29,"TN")+COUNTIF(L29,"NM")+COUNTIF(L29,"DA")+COUNTIF(L29,"DA")+COUNTIF(P29,"D")+COUNTIF(P29,"D1")+COUNTIF(P29,"N")+COUNTIF(P29,"N1")+COUNTIF(P29,"Din")+COUNTIF(P29,"D1in")+COUNTIF(P29,"Nin")+COUNTIF(P29,"N1in")+COUNTIF(P29,"DN")+COUNTIF(P29,"TN")+COUNTIF(P29,"NM")+COUNTIF(P29,"DA")+COUNTIF(P29,"DA")+COUNTIF(X29,"D")+COUNTIF(X29,"D1")+COUNTIF(X29,"N")+COUNTIF(X29,"N1")+COUNTIF(X29,"Din")+COUNTIF(X29,"D1in")+COUNTIF(X29,"Nin")+COUNTIF(X29,"N1in")+COUNTIF(X29,"DN")+COUNTIF(X29,"TN")+COUNTIF(X29,"NM")+COUNTIF(X29,"DA")+COUNTIF(X29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29" s="58">
        <f t="shared" si="6"/>
        <v>8</v>
      </c>
    </row>
    <row r="30" spans="1:52" ht="19.5" customHeight="1" x14ac:dyDescent="0.25">
      <c r="A30" s="87">
        <v>21</v>
      </c>
      <c r="B30" s="88" t="s">
        <v>123</v>
      </c>
      <c r="C30" s="89">
        <v>1112223817</v>
      </c>
      <c r="D30" s="119" t="s">
        <v>18</v>
      </c>
      <c r="E30" s="91">
        <f t="shared" si="0"/>
        <v>0</v>
      </c>
      <c r="F30" s="92" t="s">
        <v>23</v>
      </c>
      <c r="G30" s="92" t="s">
        <v>26</v>
      </c>
      <c r="H30" s="92" t="s">
        <v>18</v>
      </c>
      <c r="I30" s="92" t="s">
        <v>18</v>
      </c>
      <c r="J30" s="92" t="s">
        <v>26</v>
      </c>
      <c r="K30" s="92" t="s">
        <v>18</v>
      </c>
      <c r="L30" s="92" t="s">
        <v>27</v>
      </c>
      <c r="M30" s="110">
        <v>44</v>
      </c>
      <c r="N30" s="205" t="s">
        <v>26</v>
      </c>
      <c r="O30" s="205" t="s">
        <v>18</v>
      </c>
      <c r="P30" s="205" t="s">
        <v>18</v>
      </c>
      <c r="Q30" s="128">
        <f>COUNTIF(N30:P30,"D")*12+COUNTIF(N30:P30,"D1")*11+COUNTIF(N30:P30,"N")*12+COUNTIF(N30:P30,"N1")*11+COUNTIF(N30:P30,"Din")*12+COUNTIF(N30:P30,"D1in")*11+COUNTIF(N30:P30,"Nin")*12+COUNTIF(N30:P30,"N1in")*11+COUNTIF(N30:P30,"M8")*8+COUNTIF(N30:P30,"T8")*8+COUNTIF(N30:P30,"N8")*8</f>
        <v>12</v>
      </c>
      <c r="R30" s="100" t="s">
        <v>25</v>
      </c>
      <c r="S30" s="90" t="s">
        <v>18</v>
      </c>
      <c r="T30" s="90" t="s">
        <v>23</v>
      </c>
      <c r="U30" s="90" t="s">
        <v>26</v>
      </c>
      <c r="V30" s="90" t="s">
        <v>26</v>
      </c>
      <c r="W30" s="90" t="s">
        <v>18</v>
      </c>
      <c r="X30" s="90" t="s">
        <v>18</v>
      </c>
      <c r="Y30" s="95">
        <f t="shared" si="14"/>
        <v>44</v>
      </c>
      <c r="Z30" s="90" t="s">
        <v>26</v>
      </c>
      <c r="AA30" s="90" t="s">
        <v>18</v>
      </c>
      <c r="AB30" s="90" t="s">
        <v>23</v>
      </c>
      <c r="AC30" s="212" t="s">
        <v>27</v>
      </c>
      <c r="AD30" s="90" t="s">
        <v>18</v>
      </c>
      <c r="AE30" s="90" t="s">
        <v>26</v>
      </c>
      <c r="AF30" s="90" t="s">
        <v>18</v>
      </c>
      <c r="AG30" s="95">
        <f t="shared" si="11"/>
        <v>44</v>
      </c>
      <c r="AH30" s="90" t="s">
        <v>18</v>
      </c>
      <c r="AI30" s="90" t="s">
        <v>18</v>
      </c>
      <c r="AJ30" s="90" t="s">
        <v>23</v>
      </c>
      <c r="AK30" s="90" t="s">
        <v>18</v>
      </c>
      <c r="AL30" s="90" t="s">
        <v>29</v>
      </c>
      <c r="AM30" s="90" t="s">
        <v>18</v>
      </c>
      <c r="AN30" s="90" t="s">
        <v>23</v>
      </c>
      <c r="AO30" s="95">
        <f t="shared" si="12"/>
        <v>32</v>
      </c>
      <c r="AP30" s="212" t="s">
        <v>48</v>
      </c>
      <c r="AQ30" s="90" t="s">
        <v>18</v>
      </c>
      <c r="AR30" s="90" t="s">
        <v>25</v>
      </c>
      <c r="AS30" s="90" t="s">
        <v>18</v>
      </c>
      <c r="AT30" s="90" t="s">
        <v>23</v>
      </c>
      <c r="AU30" s="90" t="s">
        <v>23</v>
      </c>
      <c r="AV30" s="90" t="s">
        <v>23</v>
      </c>
      <c r="AW30" s="95">
        <f t="shared" si="13"/>
        <v>44</v>
      </c>
      <c r="AX30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30,"D")+COUNTIF(K30,"D1")+COUNTIF(K30,"N")+COUNTIF(K30,"N1")+COUNTIF(K30,"Din")+COUNTIF(K30,"D1in")+COUNTIF(K30,"Nin")+COUNTIF(K30,"N1in")+COUNTIF(K30,"DN")+COUNTIF(K30,"TN")+COUNTIF(K30,"NM")+COUNTIF(K30,"DA")+COUNTIF(K30,"DA")+COUNTIF(O30,"D")+COUNTIF(O30,"D1")+COUNTIF(O30,"N")+COUNTIF(O30,"N1")+COUNTIF(O30,"Din")+COUNTIF(O30,"D1in")+COUNTIF(O30,"Nin")+COUNTIF(O30,"N1in")+COUNTIF(O30,"DN")+COUNTIF(O30,"TN")+COUNTIF(O30,"NM")+COUNTIF(O30,"DA")+COUNTIF(O30,"DA")+COUNTIF(W30,"D")+COUNTIF(W30,"D1")+COUNTIF(W30,"N")+COUNTIF(W30,"N1")+COUNTIF(W30,"Din")+COUNTIF(W30,"D1in")+COUNTIF(W30,"Nin")+COUNTIF(W30,"N1in")+COUNTIF(W30,"DN")+COUNTIF(W30,"TN")+COUNTIF(W30,"NM")+COUNTIF(W30,"DA")+COUNTIF(W30,"DA")+COUNTIF(AU30,"D")+COUNTIF(AU30,"D1")+COUNTIF(AU30,"N")+COUNTIF(AU30,"N1")+COUNTIF(AU30,"Din")+COUNTIF(AU30,"D1in")+COUNTIF(AU30,"Nin")+COUNTIF(AU30,"N1in")+COUNTIF(AU30,"DN")+COUNTIF(AU30,"TN")+COUNTIF(AU30,"NM")+COUNTIF(AU30,"DA")+COUNTIF(AU30,"DA")</f>
        <v>#REF!</v>
      </c>
      <c r="AY30" s="75" t="e">
        <f>COUNTIF(D30,"D")+COUNTIF(D30,"D1")+COUNTIF(D30,"N")+COUNTIF(D30,"N1")+COUNTIF(D30,"Din")+COUNTIF(D30,"D1in")+COUNTIF(D30,"Nin")+COUNTIF(D30,"N1in")+COUNTIF(D30,"DN")+COUNTIF(D30,"TN")+COUNTIF(D30,"NM")+COUNTIF(D30,"DA")+COUNTIF(D30,"DA")+COUNTIF(L30,"D")+COUNTIF(L30,"D1")+COUNTIF(L30,"N")+COUNTIF(L30,"N1")+COUNTIF(L30,"Din")+COUNTIF(L30,"D1in")+COUNTIF(L30,"Nin")+COUNTIF(L30,"N1in")+COUNTIF(L30,"DN")+COUNTIF(L30,"TN")+COUNTIF(L30,"NM")+COUNTIF(L30,"DA")+COUNTIF(L30,"DA")+COUNTIF(P30,"D")+COUNTIF(P30,"D1")+COUNTIF(P30,"N")+COUNTIF(P30,"N1")+COUNTIF(P30,"Din")+COUNTIF(P30,"D1in")+COUNTIF(P30,"Nin")+COUNTIF(P30,"N1in")+COUNTIF(P30,"DN")+COUNTIF(P30,"TN")+COUNTIF(P30,"NM")+COUNTIF(P30,"DA")+COUNTIF(P30,"DA")+COUNTIF(X30,"D")+COUNTIF(X30,"D1")+COUNTIF(X30,"N")+COUNTIF(X30,"N1")+COUNTIF(X30,"Din")+COUNTIF(X30,"D1in")+COUNTIF(X30,"Nin")+COUNTIF(X30,"N1in")+COUNTIF(X30,"DN")+COUNTIF(X30,"TN")+COUNTIF(X30,"NM")+COUNTIF(X30,"DA")+COUNTIF(X30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0" s="58">
        <f t="shared" si="6"/>
        <v>7</v>
      </c>
    </row>
    <row r="31" spans="1:52" ht="19.5" customHeight="1" x14ac:dyDescent="0.25">
      <c r="A31" s="87">
        <v>22</v>
      </c>
      <c r="B31" s="88" t="s">
        <v>124</v>
      </c>
      <c r="C31" s="89">
        <v>1113698038</v>
      </c>
      <c r="D31" s="90" t="s">
        <v>103</v>
      </c>
      <c r="E31" s="91">
        <f t="shared" si="0"/>
        <v>11</v>
      </c>
      <c r="F31" s="92" t="s">
        <v>26</v>
      </c>
      <c r="G31" s="92" t="s">
        <v>18</v>
      </c>
      <c r="H31" s="92" t="s">
        <v>18</v>
      </c>
      <c r="I31" s="92" t="s">
        <v>23</v>
      </c>
      <c r="J31" s="92" t="s">
        <v>25</v>
      </c>
      <c r="K31" s="92" t="s">
        <v>18</v>
      </c>
      <c r="L31" s="92" t="s">
        <v>26</v>
      </c>
      <c r="M31" s="110">
        <v>44</v>
      </c>
      <c r="N31" s="205" t="s">
        <v>26</v>
      </c>
      <c r="O31" s="205" t="s">
        <v>18</v>
      </c>
      <c r="P31" s="205" t="s">
        <v>23</v>
      </c>
      <c r="Q31" s="128">
        <f>COUNTIF(N31:P31,"D")*12+COUNTIF(N31:P31,"D1")*11+COUNTIF(N31:P31,"N")*12+COUNTIF(N31:P31,"N1")*11+COUNTIF(N31:P31,"Din")*12+COUNTIF(N31:P31,"D1in")*11+COUNTIF(N31:P31,"Nin")*12+COUNTIF(N31:P31,"N1in")*11+COUNTIF(N31:P31,"M8")*8+COUNTIF(N31:P31,"T8")*8+COUNTIF(N31:P31,"N8")*8</f>
        <v>24</v>
      </c>
      <c r="R31" s="90" t="s">
        <v>27</v>
      </c>
      <c r="S31" s="90" t="s">
        <v>26</v>
      </c>
      <c r="T31" s="90" t="s">
        <v>18</v>
      </c>
      <c r="U31" s="90" t="s">
        <v>18</v>
      </c>
      <c r="V31" s="90" t="s">
        <v>23</v>
      </c>
      <c r="W31" s="90" t="s">
        <v>26</v>
      </c>
      <c r="X31" s="90" t="s">
        <v>18</v>
      </c>
      <c r="Y31" s="95">
        <f t="shared" si="14"/>
        <v>44</v>
      </c>
      <c r="Z31" s="90" t="s">
        <v>18</v>
      </c>
      <c r="AA31" s="90" t="s">
        <v>23</v>
      </c>
      <c r="AB31" s="90" t="s">
        <v>25</v>
      </c>
      <c r="AC31" s="90" t="s">
        <v>18</v>
      </c>
      <c r="AD31" s="90" t="s">
        <v>26</v>
      </c>
      <c r="AE31" s="90" t="s">
        <v>18</v>
      </c>
      <c r="AF31" s="90" t="s">
        <v>23</v>
      </c>
      <c r="AG31" s="95">
        <f t="shared" si="11"/>
        <v>44</v>
      </c>
      <c r="AH31" s="90" t="s">
        <v>26</v>
      </c>
      <c r="AI31" s="90" t="s">
        <v>18</v>
      </c>
      <c r="AJ31" s="90" t="s">
        <v>23</v>
      </c>
      <c r="AK31" s="90" t="s">
        <v>27</v>
      </c>
      <c r="AL31" s="90" t="s">
        <v>26</v>
      </c>
      <c r="AM31" s="90" t="s">
        <v>18</v>
      </c>
      <c r="AN31" s="90" t="s">
        <v>18</v>
      </c>
      <c r="AO31" s="95">
        <f t="shared" si="12"/>
        <v>44</v>
      </c>
      <c r="AP31" s="90" t="s">
        <v>18</v>
      </c>
      <c r="AQ31" s="216" t="s">
        <v>23</v>
      </c>
      <c r="AR31" s="211" t="s">
        <v>23</v>
      </c>
      <c r="AS31" s="90" t="s">
        <v>18</v>
      </c>
      <c r="AT31" s="216" t="s">
        <v>23</v>
      </c>
      <c r="AU31" s="90" t="s">
        <v>29</v>
      </c>
      <c r="AV31" s="90" t="s">
        <v>18</v>
      </c>
      <c r="AW31" s="95">
        <f t="shared" si="13"/>
        <v>44</v>
      </c>
      <c r="AX31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31,"D")+COUNTIF(K31,"D1")+COUNTIF(K31,"N")+COUNTIF(K31,"N1")+COUNTIF(K31,"Din")+COUNTIF(K31,"D1in")+COUNTIF(K31,"Nin")+COUNTIF(K31,"N1in")+COUNTIF(K31,"DN")+COUNTIF(K31,"TN")+COUNTIF(K31,"NM")+COUNTIF(K31,"DA")+COUNTIF(K31,"DA")+COUNTIF(O31,"D")+COUNTIF(O31,"D1")+COUNTIF(O31,"N")+COUNTIF(O31,"N1")+COUNTIF(O31,"Din")+COUNTIF(O31,"D1in")+COUNTIF(O31,"Nin")+COUNTIF(O31,"N1in")+COUNTIF(O31,"DN")+COUNTIF(O31,"TN")+COUNTIF(O31,"NM")+COUNTIF(O31,"DA")+COUNTIF(O31,"DA")+COUNTIF(W31,"D")+COUNTIF(W31,"D1")+COUNTIF(W31,"N")+COUNTIF(W31,"N1")+COUNTIF(W31,"Din")+COUNTIF(W31,"D1in")+COUNTIF(W31,"Nin")+COUNTIF(W31,"N1in")+COUNTIF(W31,"DN")+COUNTIF(W31,"TN")+COUNTIF(W31,"NM")+COUNTIF(W31,"DA")+COUNTIF(W31,"DA")+COUNTIF(AU31,"D")+COUNTIF(AU31,"D1")+COUNTIF(AU31,"N")+COUNTIF(AU31,"N1")+COUNTIF(AU31,"Din")+COUNTIF(AU31,"D1in")+COUNTIF(AU31,"Nin")+COUNTIF(AU31,"N1in")+COUNTIF(AU31,"DN")+COUNTIF(AU31,"TN")+COUNTIF(AU31,"NM")+COUNTIF(AU31,"DA")+COUNTIF(AU31,"DA")</f>
        <v>#REF!</v>
      </c>
      <c r="AY31" s="75" t="e">
        <f>COUNTIF(D31,"D")+COUNTIF(D31,"D1")+COUNTIF(D31,"N")+COUNTIF(D31,"N1")+COUNTIF(D31,"Din")+COUNTIF(D31,"D1in")+COUNTIF(D31,"Nin")+COUNTIF(D31,"N1in")+COUNTIF(D31,"DN")+COUNTIF(D31,"TN")+COUNTIF(D31,"NM")+COUNTIF(D31,"DA")+COUNTIF(D31,"DA")+COUNTIF(L31,"D")+COUNTIF(L31,"D1")+COUNTIF(L31,"N")+COUNTIF(L31,"N1")+COUNTIF(L31,"Din")+COUNTIF(L31,"D1in")+COUNTIF(L31,"Nin")+COUNTIF(L31,"N1in")+COUNTIF(L31,"DN")+COUNTIF(L31,"TN")+COUNTIF(L31,"NM")+COUNTIF(L31,"DA")+COUNTIF(L31,"DA")+COUNTIF(P31,"D")+COUNTIF(P31,"D1")+COUNTIF(P31,"N")+COUNTIF(P31,"N1")+COUNTIF(P31,"Din")+COUNTIF(P31,"D1in")+COUNTIF(P31,"Nin")+COUNTIF(P31,"N1in")+COUNTIF(P31,"DN")+COUNTIF(P31,"TN")+COUNTIF(P31,"NM")+COUNTIF(P31,"DA")+COUNTIF(P31,"DA")+COUNTIF(X31,"D")+COUNTIF(X31,"D1")+COUNTIF(X31,"N")+COUNTIF(X31,"N1")+COUNTIF(X31,"Din")+COUNTIF(X31,"D1in")+COUNTIF(X31,"Nin")+COUNTIF(X31,"N1in")+COUNTIF(X31,"DN")+COUNTIF(X31,"TN")+COUNTIF(X31,"NM")+COUNTIF(X31,"DA")+COUNTIF(X31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1" s="58">
        <f t="shared" si="6"/>
        <v>8</v>
      </c>
    </row>
    <row r="32" spans="1:52" ht="19.5" customHeight="1" x14ac:dyDescent="0.25">
      <c r="A32" s="87">
        <v>23</v>
      </c>
      <c r="B32" s="88" t="s">
        <v>125</v>
      </c>
      <c r="C32" s="89">
        <v>1007696750</v>
      </c>
      <c r="D32" s="90" t="s">
        <v>18</v>
      </c>
      <c r="E32" s="91">
        <f t="shared" si="0"/>
        <v>0</v>
      </c>
      <c r="F32" s="92" t="s">
        <v>18</v>
      </c>
      <c r="G32" s="92" t="s">
        <v>23</v>
      </c>
      <c r="H32" s="92" t="s">
        <v>29</v>
      </c>
      <c r="I32" s="92" t="s">
        <v>18</v>
      </c>
      <c r="J32" s="92" t="s">
        <v>26</v>
      </c>
      <c r="K32" s="92" t="s">
        <v>18</v>
      </c>
      <c r="L32" s="92" t="s">
        <v>26</v>
      </c>
      <c r="M32" s="110">
        <v>44</v>
      </c>
      <c r="N32" s="205" t="s">
        <v>18</v>
      </c>
      <c r="O32" s="205" t="s">
        <v>18</v>
      </c>
      <c r="P32" s="205" t="s">
        <v>23</v>
      </c>
      <c r="Q32" s="198">
        <f>COUNTIF(N32:P32,"D")*12+COUNTIF(N32:P32,"D1")*11+COUNTIF(N32:P32,"N")*12+COUNTIF(N32:P32,"N1")*11+COUNTIF(N32:P32,"Din")*12+COUNTIF(N32:P32,"D1in")*11+COUNTIF(N32:P32,"Nin")*12+COUNTIF(N32:P32,"N1in")*11+COUNTIF(N32:P32,"M8")*8+COUNTIF(N32:P32,"T8")*8+COUNTIF(N32:P32,"N8")*8</f>
        <v>12</v>
      </c>
      <c r="R32" s="94" t="s">
        <v>29</v>
      </c>
      <c r="S32" s="94" t="s">
        <v>26</v>
      </c>
      <c r="T32" s="94" t="s">
        <v>18</v>
      </c>
      <c r="U32" s="94" t="s">
        <v>18</v>
      </c>
      <c r="V32" s="94" t="s">
        <v>23</v>
      </c>
      <c r="W32" s="94" t="s">
        <v>26</v>
      </c>
      <c r="X32" s="94" t="s">
        <v>18</v>
      </c>
      <c r="Y32" s="97">
        <f t="shared" si="14"/>
        <v>44</v>
      </c>
      <c r="Z32" s="215" t="s">
        <v>23</v>
      </c>
      <c r="AA32" s="94" t="s">
        <v>26</v>
      </c>
      <c r="AB32" s="94" t="s">
        <v>18</v>
      </c>
      <c r="AC32" s="94" t="s">
        <v>18</v>
      </c>
      <c r="AD32" s="215" t="s">
        <v>23</v>
      </c>
      <c r="AE32" s="94" t="s">
        <v>27</v>
      </c>
      <c r="AF32" s="94" t="s">
        <v>18</v>
      </c>
      <c r="AG32" s="95">
        <f t="shared" si="11"/>
        <v>44</v>
      </c>
      <c r="AH32" s="94" t="s">
        <v>26</v>
      </c>
      <c r="AI32" s="94" t="s">
        <v>18</v>
      </c>
      <c r="AJ32" s="94" t="s">
        <v>18</v>
      </c>
      <c r="AK32" s="215" t="s">
        <v>23</v>
      </c>
      <c r="AL32" s="94" t="s">
        <v>26</v>
      </c>
      <c r="AM32" s="94" t="s">
        <v>18</v>
      </c>
      <c r="AN32" s="94" t="s">
        <v>29</v>
      </c>
      <c r="AO32" s="95">
        <f t="shared" si="12"/>
        <v>44</v>
      </c>
      <c r="AP32" s="94" t="s">
        <v>26</v>
      </c>
      <c r="AQ32" s="94" t="s">
        <v>18</v>
      </c>
      <c r="AR32" s="215" t="s">
        <v>23</v>
      </c>
      <c r="AS32" s="94" t="s">
        <v>26</v>
      </c>
      <c r="AT32" s="94" t="s">
        <v>18</v>
      </c>
      <c r="AU32" s="94" t="s">
        <v>18</v>
      </c>
      <c r="AV32" s="115" t="s">
        <v>27</v>
      </c>
      <c r="AW32" s="95">
        <f t="shared" si="13"/>
        <v>44</v>
      </c>
      <c r="AX32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32,"D")+COUNTIF(K32,"D1")+COUNTIF(K32,"N")+COUNTIF(K32,"N1")+COUNTIF(K32,"Din")+COUNTIF(K32,"D1in")+COUNTIF(K32,"Nin")+COUNTIF(K32,"N1in")+COUNTIF(K32,"DN")+COUNTIF(K32,"TN")+COUNTIF(K32,"NM")+COUNTIF(K32,"DA")+COUNTIF(K32,"DA")+COUNTIF(O32,"D")+COUNTIF(O32,"D1")+COUNTIF(O32,"N")+COUNTIF(O32,"N1")+COUNTIF(O32,"Din")+COUNTIF(O32,"D1in")+COUNTIF(O32,"Nin")+COUNTIF(O32,"N1in")+COUNTIF(O32,"DN")+COUNTIF(O32,"TN")+COUNTIF(O32,"NM")+COUNTIF(O32,"DA")+COUNTIF(O32,"DA")+COUNTIF(W32,"D")+COUNTIF(W32,"D1")+COUNTIF(W32,"N")+COUNTIF(W32,"N1")+COUNTIF(W32,"Din")+COUNTIF(W32,"D1in")+COUNTIF(W32,"Nin")+COUNTIF(W32,"N1in")+COUNTIF(W32,"DN")+COUNTIF(W32,"TN")+COUNTIF(W32,"NM")+COUNTIF(W32,"DA")+COUNTIF(W32,"DA")+COUNTIF(AU32,"D")+COUNTIF(AU32,"D1")+COUNTIF(AU32,"N")+COUNTIF(AU32,"N1")+COUNTIF(AU32,"Din")+COUNTIF(AU32,"D1in")+COUNTIF(AU32,"Nin")+COUNTIF(AU32,"N1in")+COUNTIF(AU32,"DN")+COUNTIF(AU32,"TN")+COUNTIF(AU32,"NM")+COUNTIF(AU32,"DA")+COUNTIF(AU32,"DA")</f>
        <v>#REF!</v>
      </c>
      <c r="AY32" s="75" t="e">
        <f>COUNTIF(D32,"D")+COUNTIF(D32,"D1")+COUNTIF(D32,"N")+COUNTIF(D32,"N1")+COUNTIF(D32,"Din")+COUNTIF(D32,"D1in")+COUNTIF(D32,"Nin")+COUNTIF(D32,"N1in")+COUNTIF(D32,"DN")+COUNTIF(D32,"TN")+COUNTIF(D32,"NM")+COUNTIF(D32,"DA")+COUNTIF(D32,"DA")+COUNTIF(L32,"D")+COUNTIF(L32,"D1")+COUNTIF(L32,"N")+COUNTIF(L32,"N1")+COUNTIF(L32,"Din")+COUNTIF(L32,"D1in")+COUNTIF(L32,"Nin")+COUNTIF(L32,"N1in")+COUNTIF(L32,"DN")+COUNTIF(L32,"TN")+COUNTIF(L32,"NM")+COUNTIF(L32,"DA")+COUNTIF(L32,"DA")+COUNTIF(P32,"D")+COUNTIF(P32,"D1")+COUNTIF(P32,"N")+COUNTIF(P32,"N1")+COUNTIF(P32,"Din")+COUNTIF(P32,"D1in")+COUNTIF(P32,"Nin")+COUNTIF(P32,"N1in")+COUNTIF(P32,"DN")+COUNTIF(P32,"TN")+COUNTIF(P32,"NM")+COUNTIF(P32,"DA")+COUNTIF(P32,"DA")+COUNTIF(X32,"D")+COUNTIF(X32,"D1")+COUNTIF(X32,"N")+COUNTIF(X32,"N1")+COUNTIF(X32,"Din")+COUNTIF(X32,"D1in")+COUNTIF(X32,"Nin")+COUNTIF(X32,"N1in")+COUNTIF(X32,"DN")+COUNTIF(X32,"TN")+COUNTIF(X32,"NM")+COUNTIF(X32,"DA")+COUNTIF(X32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2" s="58">
        <f t="shared" si="6"/>
        <v>9</v>
      </c>
    </row>
    <row r="33" spans="1:52" ht="20.25" customHeight="1" x14ac:dyDescent="0.25">
      <c r="A33" s="87">
        <v>24</v>
      </c>
      <c r="B33" s="230" t="s">
        <v>126</v>
      </c>
      <c r="C33" s="89">
        <v>1092850518</v>
      </c>
      <c r="D33" s="98" t="s">
        <v>26</v>
      </c>
      <c r="E33" s="91">
        <f t="shared" si="0"/>
        <v>12</v>
      </c>
      <c r="F33" s="92" t="s">
        <v>26</v>
      </c>
      <c r="G33" s="112" t="s">
        <v>18</v>
      </c>
      <c r="H33" s="92" t="s">
        <v>23</v>
      </c>
      <c r="I33" s="92" t="s">
        <v>27</v>
      </c>
      <c r="J33" s="92" t="s">
        <v>18</v>
      </c>
      <c r="K33" s="92" t="s">
        <v>18</v>
      </c>
      <c r="L33" s="92" t="s">
        <v>26</v>
      </c>
      <c r="M33" s="110">
        <v>44</v>
      </c>
      <c r="N33" s="205" t="s">
        <v>46</v>
      </c>
      <c r="O33" s="205" t="s">
        <v>46</v>
      </c>
      <c r="P33" s="205" t="s">
        <v>46</v>
      </c>
      <c r="Q33" s="199">
        <v>44</v>
      </c>
      <c r="R33" s="206" t="s">
        <v>46</v>
      </c>
      <c r="S33" s="90" t="s">
        <v>46</v>
      </c>
      <c r="T33" s="90" t="s">
        <v>46</v>
      </c>
      <c r="U33" s="90" t="s">
        <v>25</v>
      </c>
      <c r="V33" s="90" t="s">
        <v>18</v>
      </c>
      <c r="W33" s="90" t="s">
        <v>18</v>
      </c>
      <c r="X33" s="90" t="s">
        <v>23</v>
      </c>
      <c r="Y33" s="97">
        <f t="shared" si="14"/>
        <v>20</v>
      </c>
      <c r="Z33" s="90" t="s">
        <v>18</v>
      </c>
      <c r="AA33" s="90" t="s">
        <v>23</v>
      </c>
      <c r="AB33" s="90" t="s">
        <v>23</v>
      </c>
      <c r="AC33" s="90" t="s">
        <v>25</v>
      </c>
      <c r="AD33" s="90" t="s">
        <v>18</v>
      </c>
      <c r="AE33" s="90" t="s">
        <v>18</v>
      </c>
      <c r="AF33" s="90" t="s">
        <v>26</v>
      </c>
      <c r="AG33" s="95">
        <f t="shared" si="11"/>
        <v>44</v>
      </c>
      <c r="AH33" s="90" t="s">
        <v>18</v>
      </c>
      <c r="AI33" s="90" t="s">
        <v>23</v>
      </c>
      <c r="AJ33" s="90" t="s">
        <v>23</v>
      </c>
      <c r="AK33" s="90" t="s">
        <v>25</v>
      </c>
      <c r="AL33" s="90" t="s">
        <v>18</v>
      </c>
      <c r="AM33" s="90" t="s">
        <v>25</v>
      </c>
      <c r="AN33" s="90" t="s">
        <v>26</v>
      </c>
      <c r="AO33" s="95">
        <f t="shared" si="12"/>
        <v>52</v>
      </c>
      <c r="AP33" s="90" t="s">
        <v>18</v>
      </c>
      <c r="AQ33" s="90" t="s">
        <v>23</v>
      </c>
      <c r="AR33" s="228" t="s">
        <v>18</v>
      </c>
      <c r="AS33" s="90" t="s">
        <v>18</v>
      </c>
      <c r="AT33" s="90" t="s">
        <v>26</v>
      </c>
      <c r="AU33" s="90" t="s">
        <v>18</v>
      </c>
      <c r="AV33" s="226" t="s">
        <v>18</v>
      </c>
      <c r="AW33" s="95">
        <f t="shared" si="13"/>
        <v>24</v>
      </c>
      <c r="AX33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33,"D")+COUNTIF(K33,"D1")+COUNTIF(K33,"N")+COUNTIF(K33,"N1")+COUNTIF(K33,"Din")+COUNTIF(K33,"D1in")+COUNTIF(K33,"Nin")+COUNTIF(K33,"N1in")+COUNTIF(K33,"DN")+COUNTIF(K33,"TN")+COUNTIF(K33,"NM")+COUNTIF(K33,"DA")+COUNTIF(K33,"DA")+COUNTIF(O33,"D")+COUNTIF(O33,"D1")+COUNTIF(O33,"N")+COUNTIF(O33,"N1")+COUNTIF(O33,"Din")+COUNTIF(O33,"D1in")+COUNTIF(O33,"Nin")+COUNTIF(O33,"N1in")+COUNTIF(O33,"DN")+COUNTIF(O33,"TN")+COUNTIF(O33,"NM")+COUNTIF(O33,"DA")+COUNTIF(O33,"DA")+COUNTIF(W33,"D")+COUNTIF(W33,"D1")+COUNTIF(W33,"N")+COUNTIF(W33,"N1")+COUNTIF(W33,"Din")+COUNTIF(W33,"D1in")+COUNTIF(W33,"Nin")+COUNTIF(W33,"N1in")+COUNTIF(W33,"DN")+COUNTIF(W33,"TN")+COUNTIF(W33,"NM")+COUNTIF(W33,"DA")+COUNTIF(W33,"DA")+COUNTIF(AU33,"D")+COUNTIF(AU33,"D1")+COUNTIF(AU33,"N")+COUNTIF(AU33,"N1")+COUNTIF(AU33,"Din")+COUNTIF(AU33,"D1in")+COUNTIF(AU33,"Nin")+COUNTIF(AU33,"N1in")+COUNTIF(AU33,"DN")+COUNTIF(AU33,"TN")+COUNTIF(AU33,"NM")+COUNTIF(AU33,"DA")+COUNTIF(AU33,"DA")</f>
        <v>#REF!</v>
      </c>
      <c r="AY33" s="75" t="e">
        <f>COUNTIF(D33,"D")+COUNTIF(D33,"D1")+COUNTIF(D33,"N")+COUNTIF(D33,"N1")+COUNTIF(D33,"Din")+COUNTIF(D33,"D1in")+COUNTIF(D33,"Nin")+COUNTIF(D33,"N1in")+COUNTIF(D33,"DN")+COUNTIF(D33,"TN")+COUNTIF(D33,"NM")+COUNTIF(D33,"DA")+COUNTIF(D33,"DA")+COUNTIF(L33,"D")+COUNTIF(L33,"D1")+COUNTIF(L33,"N")+COUNTIF(L33,"N1")+COUNTIF(L33,"Din")+COUNTIF(L33,"D1in")+COUNTIF(L33,"Nin")+COUNTIF(L33,"N1in")+COUNTIF(L33,"DN")+COUNTIF(L33,"TN")+COUNTIF(L33,"NM")+COUNTIF(L33,"DA")+COUNTIF(L33,"DA")+COUNTIF(P33,"D")+COUNTIF(P33,"D1")+COUNTIF(P33,"N")+COUNTIF(P33,"N1")+COUNTIF(P33,"Din")+COUNTIF(P33,"D1in")+COUNTIF(P33,"Nin")+COUNTIF(P33,"N1in")+COUNTIF(P33,"DN")+COUNTIF(P33,"TN")+COUNTIF(P33,"NM")+COUNTIF(P33,"DA")+COUNTIF(P33,"DA")+COUNTIF(X33,"D")+COUNTIF(X33,"D1")+COUNTIF(X33,"N")+COUNTIF(X33,"N1")+COUNTIF(X33,"Din")+COUNTIF(X33,"D1in")+COUNTIF(X33,"Nin")+COUNTIF(X33,"N1in")+COUNTIF(X33,"DN")+COUNTIF(X33,"TN")+COUNTIF(X33,"NM")+COUNTIF(X33,"DA")+COUNTIF(X33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3" s="58">
        <f t="shared" si="6"/>
        <v>6</v>
      </c>
    </row>
    <row r="34" spans="1:52" ht="21" customHeight="1" x14ac:dyDescent="0.25">
      <c r="A34" s="87">
        <v>25</v>
      </c>
      <c r="B34" s="117" t="s">
        <v>127</v>
      </c>
      <c r="C34" s="118">
        <v>1030574392</v>
      </c>
      <c r="D34" s="90" t="s">
        <v>18</v>
      </c>
      <c r="E34" s="91">
        <f t="shared" si="0"/>
        <v>0</v>
      </c>
      <c r="F34" s="112" t="s">
        <v>26</v>
      </c>
      <c r="G34" s="112" t="s">
        <v>18</v>
      </c>
      <c r="H34" s="92" t="s">
        <v>18</v>
      </c>
      <c r="I34" s="92" t="s">
        <v>23</v>
      </c>
      <c r="J34" s="92" t="s">
        <v>25</v>
      </c>
      <c r="K34" s="92" t="s">
        <v>18</v>
      </c>
      <c r="L34" s="92" t="s">
        <v>26</v>
      </c>
      <c r="M34" s="110">
        <v>44</v>
      </c>
      <c r="N34" s="205" t="s">
        <v>26</v>
      </c>
      <c r="O34" s="205" t="s">
        <v>18</v>
      </c>
      <c r="P34" s="205" t="s">
        <v>18</v>
      </c>
      <c r="Q34" s="200">
        <f t="shared" ref="Q34:Q39" si="15">COUNTIF(N34:P34,"D")*12+COUNTIF(N34:P34,"D1")*11+COUNTIF(N34:P34,"N")*12+COUNTIF(N34:P34,"N1")*11+COUNTIF(N34:P34,"Din")*12+COUNTIF(N34:P34,"D1in")*11+COUNTIF(N34:P34,"Nin")*12+COUNTIF(N34:P34,"N1in")*11+COUNTIF(N34:P34,"M8")*8+COUNTIF(N34:P34,"T8")*8+COUNTIF(N34:P34,"N8")*8</f>
        <v>12</v>
      </c>
      <c r="R34" s="100" t="s">
        <v>29</v>
      </c>
      <c r="S34" s="100" t="s">
        <v>26</v>
      </c>
      <c r="T34" s="100" t="s">
        <v>18</v>
      </c>
      <c r="U34" s="100" t="s">
        <v>18</v>
      </c>
      <c r="V34" s="100" t="s">
        <v>87</v>
      </c>
      <c r="W34" s="100" t="s">
        <v>26</v>
      </c>
      <c r="X34" s="100" t="s">
        <v>18</v>
      </c>
      <c r="Y34" s="101">
        <f t="shared" ref="Y34:Y36" si="16">COUNTIF(R34:X34,"D")*12+COUNTIF(R34:X34,"D1")*11+COUNTIF(R34:X34,"N")*12+COUNTIF(R34:X34,"N1")*11+COUNTIF(R34:X34,"Din")*12+COUNTIF(R34:X34,"D1in")*11+COUNTIF(R34:X34,"Nin")*12+COUNTIF(R34:X34,"N1in")*11+COUNTIF(R34:X34,"M8")*8+COUNTIF(R34:X34,"T8")*8+COUNTIF(R34:X34,"N8")*8</f>
        <v>32</v>
      </c>
      <c r="Z34" s="100" t="s">
        <v>87</v>
      </c>
      <c r="AA34" s="100" t="s">
        <v>18</v>
      </c>
      <c r="AB34" s="100" t="s">
        <v>27</v>
      </c>
      <c r="AC34" s="100" t="s">
        <v>26</v>
      </c>
      <c r="AD34" s="100" t="s">
        <v>18</v>
      </c>
      <c r="AE34" s="100" t="s">
        <v>26</v>
      </c>
      <c r="AF34" s="100" t="s">
        <v>18</v>
      </c>
      <c r="AG34" s="95">
        <f t="shared" si="11"/>
        <v>32</v>
      </c>
      <c r="AH34" s="100" t="s">
        <v>29</v>
      </c>
      <c r="AI34" s="100" t="s">
        <v>23</v>
      </c>
      <c r="AJ34" s="100" t="s">
        <v>26</v>
      </c>
      <c r="AK34" s="100" t="s">
        <v>18</v>
      </c>
      <c r="AL34" s="100" t="s">
        <v>26</v>
      </c>
      <c r="AM34" s="100" t="s">
        <v>18</v>
      </c>
      <c r="AN34" s="100" t="s">
        <v>18</v>
      </c>
      <c r="AO34" s="95">
        <f t="shared" si="12"/>
        <v>44</v>
      </c>
      <c r="AP34" s="100" t="s">
        <v>23</v>
      </c>
      <c r="AQ34" s="100" t="s">
        <v>29</v>
      </c>
      <c r="AR34" s="100" t="s">
        <v>18</v>
      </c>
      <c r="AS34" s="100" t="s">
        <v>18</v>
      </c>
      <c r="AT34" s="100" t="s">
        <v>18</v>
      </c>
      <c r="AU34" s="100" t="s">
        <v>23</v>
      </c>
      <c r="AV34" s="100" t="s">
        <v>23</v>
      </c>
      <c r="AW34" s="95">
        <f t="shared" si="13"/>
        <v>44</v>
      </c>
      <c r="AX34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34,"D")+COUNTIF(K34,"D1")+COUNTIF(K34,"N")+COUNTIF(K34,"N1")+COUNTIF(K34,"Din")+COUNTIF(K34,"D1in")+COUNTIF(K34,"Nin")+COUNTIF(K34,"N1in")+COUNTIF(K34,"DN")+COUNTIF(K34,"TN")+COUNTIF(K34,"NM")+COUNTIF(K34,"DA")+COUNTIF(K34,"DA")+COUNTIF(O34,"D")+COUNTIF(O34,"D1")+COUNTIF(O34,"N")+COUNTIF(O34,"N1")+COUNTIF(O34,"Din")+COUNTIF(O34,"D1in")+COUNTIF(O34,"Nin")+COUNTIF(O34,"N1in")+COUNTIF(O34,"DN")+COUNTIF(O34,"TN")+COUNTIF(O34,"NM")+COUNTIF(O34,"DA")+COUNTIF(O34,"DA")+COUNTIF(W34,"D")+COUNTIF(W34,"D1")+COUNTIF(W34,"N")+COUNTIF(W34,"N1")+COUNTIF(W34,"Din")+COUNTIF(W34,"D1in")+COUNTIF(W34,"Nin")+COUNTIF(W34,"N1in")+COUNTIF(W34,"DN")+COUNTIF(W34,"TN")+COUNTIF(W34,"NM")+COUNTIF(W34,"DA")+COUNTIF(W34,"DA")+COUNTIF(AU34,"D")+COUNTIF(AU34,"D1")+COUNTIF(AU34,"N")+COUNTIF(AU34,"N1")+COUNTIF(AU34,"Din")+COUNTIF(AU34,"D1in")+COUNTIF(AU34,"Nin")+COUNTIF(AU34,"N1in")+COUNTIF(AU34,"DN")+COUNTIF(AU34,"TN")+COUNTIF(AU34,"NM")+COUNTIF(AU34,"DA")+COUNTIF(AU34,"DA")</f>
        <v>#REF!</v>
      </c>
      <c r="AY34" s="75" t="e">
        <f>COUNTIF(D34,"D")+COUNTIF(D34,"D1")+COUNTIF(D34,"N")+COUNTIF(D34,"N1")+COUNTIF(D34,"Din")+COUNTIF(D34,"D1in")+COUNTIF(D34,"Nin")+COUNTIF(D34,"N1in")+COUNTIF(D34,"DN")+COUNTIF(D34,"TN")+COUNTIF(D34,"NM")+COUNTIF(D34,"DA")+COUNTIF(D34,"DA")+COUNTIF(L34,"D")+COUNTIF(L34,"D1")+COUNTIF(L34,"N")+COUNTIF(L34,"N1")+COUNTIF(L34,"Din")+COUNTIF(L34,"D1in")+COUNTIF(L34,"Nin")+COUNTIF(L34,"N1in")+COUNTIF(L34,"DN")+COUNTIF(L34,"TN")+COUNTIF(L34,"NM")+COUNTIF(L34,"DA")+COUNTIF(L34,"DA")+COUNTIF(P34,"D")+COUNTIF(P34,"D1")+COUNTIF(P34,"N")+COUNTIF(P34,"N1")+COUNTIF(P34,"Din")+COUNTIF(P34,"D1in")+COUNTIF(P34,"Nin")+COUNTIF(P34,"N1in")+COUNTIF(P34,"DN")+COUNTIF(P34,"TN")+COUNTIF(P34,"NM")+COUNTIF(P34,"DA")+COUNTIF(P34,"DA")+COUNTIF(X34,"D")+COUNTIF(X34,"D1")+COUNTIF(X34,"N")+COUNTIF(X34,"N1")+COUNTIF(X34,"Din")+COUNTIF(X34,"D1in")+COUNTIF(X34,"Nin")+COUNTIF(X34,"N1in")+COUNTIF(X34,"DN")+COUNTIF(X34,"TN")+COUNTIF(X34,"NM")+COUNTIF(X34,"DA")+COUNTIF(X34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4" s="58">
        <f t="shared" si="6"/>
        <v>9</v>
      </c>
    </row>
    <row r="35" spans="1:52" ht="19.5" customHeight="1" x14ac:dyDescent="0.25">
      <c r="A35" s="120">
        <v>26</v>
      </c>
      <c r="B35" s="121" t="s">
        <v>128</v>
      </c>
      <c r="C35" s="122">
        <v>1076350948</v>
      </c>
      <c r="D35" s="119"/>
      <c r="E35" s="91"/>
      <c r="F35" s="92"/>
      <c r="G35" s="92"/>
      <c r="H35" s="92"/>
      <c r="I35" s="92"/>
      <c r="J35" s="92"/>
      <c r="K35" s="92"/>
      <c r="L35" s="92"/>
      <c r="M35" s="110">
        <v>0</v>
      </c>
      <c r="N35" s="205" t="s">
        <v>26</v>
      </c>
      <c r="O35" s="205" t="s">
        <v>18</v>
      </c>
      <c r="P35" s="205" t="s">
        <v>23</v>
      </c>
      <c r="Q35" s="128">
        <f t="shared" si="15"/>
        <v>24</v>
      </c>
      <c r="R35" s="90" t="s">
        <v>25</v>
      </c>
      <c r="S35" s="90" t="s">
        <v>18</v>
      </c>
      <c r="T35" s="90" t="s">
        <v>23</v>
      </c>
      <c r="U35" s="90" t="s">
        <v>26</v>
      </c>
      <c r="V35" s="90" t="s">
        <v>18</v>
      </c>
      <c r="W35" s="90" t="s">
        <v>26</v>
      </c>
      <c r="X35" s="90" t="s">
        <v>18</v>
      </c>
      <c r="Y35" s="95">
        <f t="shared" si="16"/>
        <v>44</v>
      </c>
      <c r="Z35" s="211" t="s">
        <v>29</v>
      </c>
      <c r="AA35" s="90" t="s">
        <v>26</v>
      </c>
      <c r="AB35" s="90" t="s">
        <v>18</v>
      </c>
      <c r="AC35" s="90" t="s">
        <v>18</v>
      </c>
      <c r="AD35" s="211" t="s">
        <v>23</v>
      </c>
      <c r="AE35" s="90" t="s">
        <v>26</v>
      </c>
      <c r="AF35" s="90" t="s">
        <v>18</v>
      </c>
      <c r="AG35" s="95">
        <f t="shared" si="11"/>
        <v>44</v>
      </c>
      <c r="AH35" s="90" t="s">
        <v>18</v>
      </c>
      <c r="AI35" s="90" t="s">
        <v>23</v>
      </c>
      <c r="AJ35" s="90" t="s">
        <v>26</v>
      </c>
      <c r="AK35" s="90" t="s">
        <v>18</v>
      </c>
      <c r="AL35" s="90" t="s">
        <v>29</v>
      </c>
      <c r="AM35" s="90" t="s">
        <v>26</v>
      </c>
      <c r="AN35" s="90" t="s">
        <v>18</v>
      </c>
      <c r="AO35" s="95">
        <f t="shared" si="12"/>
        <v>44</v>
      </c>
      <c r="AP35" s="90" t="s">
        <v>18</v>
      </c>
      <c r="AQ35" s="90" t="s">
        <v>41</v>
      </c>
      <c r="AR35" s="90" t="s">
        <v>41</v>
      </c>
      <c r="AS35" s="90" t="s">
        <v>26</v>
      </c>
      <c r="AT35" s="90" t="s">
        <v>18</v>
      </c>
      <c r="AU35" s="90" t="s">
        <v>18</v>
      </c>
      <c r="AV35" s="90" t="s">
        <v>27</v>
      </c>
      <c r="AW35" s="95">
        <f t="shared" si="13"/>
        <v>20</v>
      </c>
      <c r="AX35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35,"D")+COUNTIF(K35,"D1")+COUNTIF(K35,"N")+COUNTIF(K35,"N1")+COUNTIF(K35,"Din")+COUNTIF(K35,"D1in")+COUNTIF(K35,"Nin")+COUNTIF(K35,"N1in")+COUNTIF(K35,"DN")+COUNTIF(K35,"TN")+COUNTIF(K35,"NM")+COUNTIF(K35,"DA")+COUNTIF(K35,"DA")+COUNTIF(O35,"D")+COUNTIF(O35,"D1")+COUNTIF(O35,"N")+COUNTIF(O35,"N1")+COUNTIF(O35,"Din")+COUNTIF(O35,"D1in")+COUNTIF(O35,"Nin")+COUNTIF(O35,"N1in")+COUNTIF(O35,"DN")+COUNTIF(O35,"TN")+COUNTIF(O35,"NM")+COUNTIF(O35,"DA")+COUNTIF(O35,"DA")+COUNTIF(W35,"D")+COUNTIF(W35,"D1")+COUNTIF(W35,"N")+COUNTIF(W35,"N1")+COUNTIF(W35,"Din")+COUNTIF(W35,"D1in")+COUNTIF(W35,"Nin")+COUNTIF(W35,"N1in")+COUNTIF(W35,"DN")+COUNTIF(W35,"TN")+COUNTIF(W35,"NM")+COUNTIF(W35,"DA")+COUNTIF(W35,"DA")+COUNTIF(AU35,"D")+COUNTIF(AU35,"D1")+COUNTIF(AU35,"N")+COUNTIF(AU35,"N1")+COUNTIF(AU35,"Din")+COUNTIF(AU35,"D1in")+COUNTIF(AU35,"Nin")+COUNTIF(AU35,"N1in")+COUNTIF(AU35,"DN")+COUNTIF(AU35,"TN")+COUNTIF(AU35,"NM")+COUNTIF(AU35,"DA")+COUNTIF(AU35,"DA")</f>
        <v>#REF!</v>
      </c>
      <c r="AY35" s="75" t="e">
        <f>COUNTIF(D35,"D")+COUNTIF(D35,"D1")+COUNTIF(D35,"N")+COUNTIF(D35,"N1")+COUNTIF(D35,"Din")+COUNTIF(D35,"D1in")+COUNTIF(D35,"Nin")+COUNTIF(D35,"N1in")+COUNTIF(D35,"DN")+COUNTIF(D35,"TN")+COUNTIF(D35,"NM")+COUNTIF(D35,"DA")+COUNTIF(D35,"DA")+COUNTIF(L35,"D")+COUNTIF(L35,"D1")+COUNTIF(L35,"N")+COUNTIF(L35,"N1")+COUNTIF(L35,"Din")+COUNTIF(L35,"D1in")+COUNTIF(L35,"Nin")+COUNTIF(L35,"N1in")+COUNTIF(L35,"DN")+COUNTIF(L35,"TN")+COUNTIF(L35,"NM")+COUNTIF(L35,"DA")+COUNTIF(L35,"DA")+COUNTIF(P35,"D")+COUNTIF(P35,"D1")+COUNTIF(P35,"N")+COUNTIF(P35,"N1")+COUNTIF(P35,"Din")+COUNTIF(P35,"D1in")+COUNTIF(P35,"Nin")+COUNTIF(P35,"N1in")+COUNTIF(P35,"DN")+COUNTIF(P35,"TN")+COUNTIF(P35,"NM")+COUNTIF(P35,"DA")+COUNTIF(P35,"DA")+COUNTIF(X35,"D")+COUNTIF(X35,"D1")+COUNTIF(X35,"N")+COUNTIF(X35,"N1")+COUNTIF(X35,"Din")+COUNTIF(X35,"D1in")+COUNTIF(X35,"Nin")+COUNTIF(X35,"N1in")+COUNTIF(X35,"DN")+COUNTIF(X35,"TN")+COUNTIF(X35,"NM")+COUNTIF(X35,"DA")+COUNTIF(X35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35" s="58">
        <f t="shared" si="6"/>
        <v>8</v>
      </c>
    </row>
    <row r="36" spans="1:52" ht="19.5" customHeight="1" x14ac:dyDescent="0.25">
      <c r="A36" s="87">
        <v>27</v>
      </c>
      <c r="B36" s="123" t="s">
        <v>129</v>
      </c>
      <c r="C36" s="124">
        <v>1006288068</v>
      </c>
      <c r="D36" s="90" t="s">
        <v>18</v>
      </c>
      <c r="E36" s="91">
        <f t="shared" ref="E36:E37" si="17">COUNTIF(D36,"D")*12+COUNTIF(D36,"D1")*11+COUNTIF(D36,"N")*12+COUNTIF(D36,"N1")*11+COUNTIF(D36,"Din")*12+COUNTIF(D36,"D1in")*11+COUNTIF(D36,"Nin")*12+COUNTIF(D36,"N1in")*11+COUNTIF(D36,"DN")*24+COUNTIF(D36,"TN")*18+COUNTIF(D36,"NM")*18+COUNTIF(D36,"DA")*9.5+COUNTIF(D36,"DA")*9+COUNTIF(D36,"D2")*11+COUNTIF(D36,"DE")*12</f>
        <v>0</v>
      </c>
      <c r="F36" s="92" t="s">
        <v>23</v>
      </c>
      <c r="G36" s="92" t="s">
        <v>26</v>
      </c>
      <c r="H36" s="92" t="s">
        <v>18</v>
      </c>
      <c r="I36" s="92" t="s">
        <v>18</v>
      </c>
      <c r="J36" s="92" t="s">
        <v>26</v>
      </c>
      <c r="K36" s="92" t="s">
        <v>18</v>
      </c>
      <c r="L36" s="92" t="s">
        <v>29</v>
      </c>
      <c r="M36" s="110">
        <v>44</v>
      </c>
      <c r="N36" s="205" t="s">
        <v>18</v>
      </c>
      <c r="O36" s="205" t="s">
        <v>23</v>
      </c>
      <c r="P36" s="205" t="s">
        <v>27</v>
      </c>
      <c r="Q36" s="128">
        <f t="shared" si="15"/>
        <v>20</v>
      </c>
      <c r="R36" s="94" t="s">
        <v>26</v>
      </c>
      <c r="S36" s="94" t="s">
        <v>18</v>
      </c>
      <c r="T36" s="94" t="s">
        <v>26</v>
      </c>
      <c r="U36" s="94" t="s">
        <v>18</v>
      </c>
      <c r="V36" s="94" t="s">
        <v>23</v>
      </c>
      <c r="W36" s="94" t="s">
        <v>27</v>
      </c>
      <c r="X36" s="94" t="s">
        <v>18</v>
      </c>
      <c r="Y36" s="97">
        <f t="shared" si="16"/>
        <v>44</v>
      </c>
      <c r="Z36" s="94" t="s">
        <v>26</v>
      </c>
      <c r="AA36" s="94" t="s">
        <v>18</v>
      </c>
      <c r="AB36" s="94" t="s">
        <v>26</v>
      </c>
      <c r="AC36" s="94" t="s">
        <v>18</v>
      </c>
      <c r="AD36" s="94" t="s">
        <v>26</v>
      </c>
      <c r="AE36" s="94" t="s">
        <v>18</v>
      </c>
      <c r="AF36" s="94" t="s">
        <v>29</v>
      </c>
      <c r="AG36" s="95">
        <f t="shared" si="11"/>
        <v>44</v>
      </c>
      <c r="AH36" s="94" t="s">
        <v>26</v>
      </c>
      <c r="AI36" s="94" t="s">
        <v>18</v>
      </c>
      <c r="AJ36" s="94" t="s">
        <v>18</v>
      </c>
      <c r="AK36" s="94" t="s">
        <v>23</v>
      </c>
      <c r="AL36" s="94" t="s">
        <v>25</v>
      </c>
      <c r="AM36" s="94" t="s">
        <v>18</v>
      </c>
      <c r="AN36" s="94" t="s">
        <v>23</v>
      </c>
      <c r="AO36" s="95">
        <f t="shared" si="12"/>
        <v>44</v>
      </c>
      <c r="AP36" s="94" t="s">
        <v>18</v>
      </c>
      <c r="AQ36" s="94" t="s">
        <v>26</v>
      </c>
      <c r="AR36" s="94" t="s">
        <v>18</v>
      </c>
      <c r="AS36" s="94" t="s">
        <v>23</v>
      </c>
      <c r="AT36" s="94" t="s">
        <v>26</v>
      </c>
      <c r="AU36" s="94" t="s">
        <v>18</v>
      </c>
      <c r="AV36" s="94" t="s">
        <v>29</v>
      </c>
      <c r="AW36" s="95">
        <f t="shared" si="13"/>
        <v>44</v>
      </c>
      <c r="AX36" s="31" t="s">
        <v>18</v>
      </c>
      <c r="AY36" s="125" t="s">
        <v>130</v>
      </c>
      <c r="AZ36" s="126" t="s">
        <v>18</v>
      </c>
    </row>
    <row r="37" spans="1:52" ht="19.5" customHeight="1" x14ac:dyDescent="0.25">
      <c r="A37" s="87">
        <v>28</v>
      </c>
      <c r="B37" s="231" t="s">
        <v>131</v>
      </c>
      <c r="C37" s="127">
        <v>1114541069</v>
      </c>
      <c r="D37" s="90" t="s">
        <v>69</v>
      </c>
      <c r="E37" s="91">
        <f t="shared" si="17"/>
        <v>11</v>
      </c>
      <c r="F37" s="92" t="s">
        <v>18</v>
      </c>
      <c r="G37" s="112" t="s">
        <v>25</v>
      </c>
      <c r="H37" s="92" t="s">
        <v>18</v>
      </c>
      <c r="I37" s="92" t="s">
        <v>23</v>
      </c>
      <c r="J37" s="92" t="s">
        <v>26</v>
      </c>
      <c r="K37" s="92" t="s">
        <v>18</v>
      </c>
      <c r="L37" s="92" t="s">
        <v>23</v>
      </c>
      <c r="M37" s="110">
        <v>44</v>
      </c>
      <c r="N37" s="205" t="s">
        <v>27</v>
      </c>
      <c r="O37" s="205" t="s">
        <v>18</v>
      </c>
      <c r="P37" s="205" t="s">
        <v>23</v>
      </c>
      <c r="Q37" s="128">
        <f t="shared" si="15"/>
        <v>20</v>
      </c>
      <c r="R37" s="90" t="s">
        <v>27</v>
      </c>
      <c r="S37" s="90" t="s">
        <v>18</v>
      </c>
      <c r="T37" s="90" t="s">
        <v>26</v>
      </c>
      <c r="U37" s="90" t="s">
        <v>18</v>
      </c>
      <c r="V37" s="90" t="s">
        <v>18</v>
      </c>
      <c r="W37" s="90" t="s">
        <v>23</v>
      </c>
      <c r="X37" s="90" t="s">
        <v>23</v>
      </c>
      <c r="Y37" s="93">
        <v>44</v>
      </c>
      <c r="Z37" s="90" t="s">
        <v>27</v>
      </c>
      <c r="AA37" s="90" t="s">
        <v>18</v>
      </c>
      <c r="AB37" s="90" t="s">
        <v>26</v>
      </c>
      <c r="AC37" s="90" t="s">
        <v>18</v>
      </c>
      <c r="AD37" s="90" t="s">
        <v>26</v>
      </c>
      <c r="AE37" s="90" t="s">
        <v>18</v>
      </c>
      <c r="AF37" s="90" t="s">
        <v>23</v>
      </c>
      <c r="AG37" s="95">
        <f t="shared" si="11"/>
        <v>44</v>
      </c>
      <c r="AH37" s="90" t="s">
        <v>18</v>
      </c>
      <c r="AI37" s="90" t="s">
        <v>18</v>
      </c>
      <c r="AJ37" s="90" t="s">
        <v>27</v>
      </c>
      <c r="AK37" s="90" t="s">
        <v>23</v>
      </c>
      <c r="AL37" s="90" t="s">
        <v>48</v>
      </c>
      <c r="AM37" s="90" t="s">
        <v>48</v>
      </c>
      <c r="AN37" s="90" t="s">
        <v>26</v>
      </c>
      <c r="AO37" s="95">
        <f t="shared" si="12"/>
        <v>32</v>
      </c>
      <c r="AP37" s="90" t="s">
        <v>18</v>
      </c>
      <c r="AQ37" s="90" t="s">
        <v>27</v>
      </c>
      <c r="AR37" s="90" t="s">
        <v>18</v>
      </c>
      <c r="AS37" s="90" t="s">
        <v>23</v>
      </c>
      <c r="AT37" s="90" t="s">
        <v>26</v>
      </c>
      <c r="AU37" s="90" t="s">
        <v>18</v>
      </c>
      <c r="AV37" s="226" t="s">
        <v>18</v>
      </c>
      <c r="AW37" s="95">
        <f t="shared" si="13"/>
        <v>32</v>
      </c>
      <c r="AX37" s="31" t="s">
        <v>26</v>
      </c>
      <c r="AY37" s="125" t="s">
        <v>18</v>
      </c>
      <c r="AZ37" s="126" t="s">
        <v>26</v>
      </c>
    </row>
    <row r="38" spans="1:52" ht="21.75" customHeight="1" x14ac:dyDescent="0.25">
      <c r="A38" s="120">
        <v>29</v>
      </c>
      <c r="B38" s="129" t="s">
        <v>132</v>
      </c>
      <c r="C38" s="130">
        <v>1113655550</v>
      </c>
      <c r="D38" s="119"/>
      <c r="E38" s="131"/>
      <c r="F38" s="90"/>
      <c r="G38" s="90"/>
      <c r="H38" s="92"/>
      <c r="I38" s="92"/>
      <c r="J38" s="92"/>
      <c r="K38" s="92"/>
      <c r="L38" s="92"/>
      <c r="M38" s="110">
        <v>44</v>
      </c>
      <c r="N38" s="205" t="s">
        <v>23</v>
      </c>
      <c r="O38" s="205" t="s">
        <v>26</v>
      </c>
      <c r="P38" s="205" t="s">
        <v>18</v>
      </c>
      <c r="Q38" s="128">
        <f t="shared" si="15"/>
        <v>24</v>
      </c>
      <c r="R38" s="100" t="s">
        <v>18</v>
      </c>
      <c r="S38" s="100" t="s">
        <v>26</v>
      </c>
      <c r="T38" s="100" t="s">
        <v>18</v>
      </c>
      <c r="U38" s="100" t="s">
        <v>26</v>
      </c>
      <c r="V38" s="100" t="s">
        <v>18</v>
      </c>
      <c r="W38" s="100" t="s">
        <v>29</v>
      </c>
      <c r="X38" s="214" t="s">
        <v>26</v>
      </c>
      <c r="Y38" s="101">
        <f t="shared" ref="Y38:Y39" si="18">COUNTIF(R38:X38,"D")*12+COUNTIF(R38:X38,"D1")*11+COUNTIF(R38:X38,"N")*12+COUNTIF(R38:X38,"N1")*11+COUNTIF(R38:X38,"Din")*12+COUNTIF(R38:X38,"D1in")*11+COUNTIF(R38:X38,"Nin")*12+COUNTIF(R38:X38,"N1in")*11+COUNTIF(R38:X38,"M8")*8+COUNTIF(R38:X38,"T8")*8+COUNTIF(R38:X38,"N8")*8</f>
        <v>44</v>
      </c>
      <c r="Z38" s="100" t="s">
        <v>18</v>
      </c>
      <c r="AA38" s="214" t="s">
        <v>29</v>
      </c>
      <c r="AB38" s="100" t="s">
        <v>26</v>
      </c>
      <c r="AC38" s="100" t="s">
        <v>18</v>
      </c>
      <c r="AD38" s="214" t="s">
        <v>23</v>
      </c>
      <c r="AE38" s="100" t="s">
        <v>23</v>
      </c>
      <c r="AF38" s="100" t="s">
        <v>18</v>
      </c>
      <c r="AG38" s="95">
        <f t="shared" si="11"/>
        <v>44</v>
      </c>
      <c r="AH38" s="100" t="s">
        <v>18</v>
      </c>
      <c r="AI38" s="113" t="s">
        <v>23</v>
      </c>
      <c r="AJ38" s="100" t="s">
        <v>26</v>
      </c>
      <c r="AK38" s="100" t="s">
        <v>18</v>
      </c>
      <c r="AL38" s="100" t="s">
        <v>23</v>
      </c>
      <c r="AM38" s="100" t="s">
        <v>18</v>
      </c>
      <c r="AN38" s="100" t="s">
        <v>18</v>
      </c>
      <c r="AO38" s="95">
        <f t="shared" si="12"/>
        <v>36</v>
      </c>
      <c r="AP38" s="100" t="s">
        <v>29</v>
      </c>
      <c r="AQ38" s="100" t="s">
        <v>26</v>
      </c>
      <c r="AR38" s="100" t="s">
        <v>18</v>
      </c>
      <c r="AS38" s="100" t="s">
        <v>29</v>
      </c>
      <c r="AT38" s="100" t="s">
        <v>26</v>
      </c>
      <c r="AU38" s="100" t="s">
        <v>18</v>
      </c>
      <c r="AV38" s="100" t="s">
        <v>23</v>
      </c>
      <c r="AW38" s="95">
        <f t="shared" si="13"/>
        <v>52</v>
      </c>
      <c r="AX38" s="132" t="s">
        <v>21</v>
      </c>
      <c r="AY38" s="133" t="s">
        <v>21</v>
      </c>
      <c r="AZ38" s="134" t="s">
        <v>21</v>
      </c>
    </row>
    <row r="39" spans="1:52" ht="23.25" customHeight="1" x14ac:dyDescent="0.25">
      <c r="A39" s="87">
        <v>30</v>
      </c>
      <c r="B39" s="135" t="s">
        <v>133</v>
      </c>
      <c r="C39" s="136">
        <v>1006326082</v>
      </c>
      <c r="D39" s="90" t="s">
        <v>18</v>
      </c>
      <c r="E39" s="91">
        <f t="shared" ref="E39:E44" si="19">COUNTIF(D39,"D")*12+COUNTIF(D39,"D1")*11+COUNTIF(D39,"N")*12+COUNTIF(D39,"N1")*11+COUNTIF(D39,"Din")*12+COUNTIF(D39,"D1in")*11+COUNTIF(D39,"Nin")*12+COUNTIF(D39,"N1in")*11+COUNTIF(D39,"DN")*24+COUNTIF(D39,"TN")*18+COUNTIF(D39,"NM")*18+COUNTIF(D39,"DA")*9.5+COUNTIF(D39,"DA")*9+COUNTIF(D39,"D2")*11+COUNTIF(D39,"DE")*12</f>
        <v>0</v>
      </c>
      <c r="F39" s="92" t="s">
        <v>29</v>
      </c>
      <c r="G39" s="92" t="s">
        <v>26</v>
      </c>
      <c r="H39" s="92" t="s">
        <v>18</v>
      </c>
      <c r="I39" s="92" t="s">
        <v>26</v>
      </c>
      <c r="J39" s="92" t="s">
        <v>18</v>
      </c>
      <c r="K39" s="92" t="s">
        <v>23</v>
      </c>
      <c r="L39" s="92" t="s">
        <v>18</v>
      </c>
      <c r="M39" s="110">
        <v>44</v>
      </c>
      <c r="N39" s="205" t="s">
        <v>23</v>
      </c>
      <c r="O39" s="205" t="s">
        <v>26</v>
      </c>
      <c r="P39" s="205" t="s">
        <v>18</v>
      </c>
      <c r="Q39" s="198">
        <f t="shared" si="15"/>
        <v>24</v>
      </c>
      <c r="R39" s="94" t="s">
        <v>23</v>
      </c>
      <c r="S39" s="94" t="s">
        <v>29</v>
      </c>
      <c r="T39" s="94" t="s">
        <v>18</v>
      </c>
      <c r="U39" s="94" t="s">
        <v>23</v>
      </c>
      <c r="V39" s="94" t="s">
        <v>18</v>
      </c>
      <c r="W39" s="94" t="s">
        <v>23</v>
      </c>
      <c r="X39" s="94" t="s">
        <v>18</v>
      </c>
      <c r="Y39" s="97">
        <f t="shared" si="18"/>
        <v>44</v>
      </c>
      <c r="Z39" s="94" t="s">
        <v>23</v>
      </c>
      <c r="AA39" s="94" t="s">
        <v>26</v>
      </c>
      <c r="AB39" s="94" t="s">
        <v>26</v>
      </c>
      <c r="AC39" s="94" t="s">
        <v>18</v>
      </c>
      <c r="AD39" s="94" t="s">
        <v>25</v>
      </c>
      <c r="AE39" s="104" t="s">
        <v>18</v>
      </c>
      <c r="AF39" s="104" t="s">
        <v>18</v>
      </c>
      <c r="AG39" s="95">
        <f t="shared" si="11"/>
        <v>44</v>
      </c>
      <c r="AH39" s="94" t="s">
        <v>26</v>
      </c>
      <c r="AI39" s="137" t="s">
        <v>18</v>
      </c>
      <c r="AJ39" s="104" t="s">
        <v>18</v>
      </c>
      <c r="AK39" s="104" t="s">
        <v>29</v>
      </c>
      <c r="AL39" s="94" t="s">
        <v>26</v>
      </c>
      <c r="AM39" s="94" t="s">
        <v>18</v>
      </c>
      <c r="AN39" s="94" t="s">
        <v>23</v>
      </c>
      <c r="AO39" s="95">
        <f t="shared" si="12"/>
        <v>44</v>
      </c>
      <c r="AP39" s="94" t="s">
        <v>23</v>
      </c>
      <c r="AQ39" s="94" t="s">
        <v>25</v>
      </c>
      <c r="AR39" s="94" t="s">
        <v>18</v>
      </c>
      <c r="AS39" s="94" t="s">
        <v>18</v>
      </c>
      <c r="AT39" s="94" t="s">
        <v>23</v>
      </c>
      <c r="AU39" s="94" t="s">
        <v>18</v>
      </c>
      <c r="AV39" s="94" t="s">
        <v>26</v>
      </c>
      <c r="AW39" s="95">
        <f t="shared" si="13"/>
        <v>44</v>
      </c>
      <c r="AX39" s="31" t="s">
        <v>103</v>
      </c>
      <c r="AY39" s="125" t="s">
        <v>26</v>
      </c>
      <c r="AZ39" s="126" t="s">
        <v>18</v>
      </c>
    </row>
    <row r="40" spans="1:52" ht="21" customHeight="1" x14ac:dyDescent="0.25">
      <c r="A40" s="87">
        <v>31</v>
      </c>
      <c r="B40" s="129" t="s">
        <v>134</v>
      </c>
      <c r="C40" s="122">
        <v>1114877458</v>
      </c>
      <c r="D40" s="90" t="s">
        <v>18</v>
      </c>
      <c r="E40" s="91">
        <f t="shared" si="19"/>
        <v>0</v>
      </c>
      <c r="F40" s="92" t="s">
        <v>23</v>
      </c>
      <c r="G40" s="92" t="s">
        <v>26</v>
      </c>
      <c r="H40" s="92" t="s">
        <v>18</v>
      </c>
      <c r="I40" s="92" t="s">
        <v>26</v>
      </c>
      <c r="J40" s="92" t="s">
        <v>18</v>
      </c>
      <c r="K40" s="92" t="s">
        <v>27</v>
      </c>
      <c r="L40" s="92" t="s">
        <v>18</v>
      </c>
      <c r="M40" s="110">
        <v>44</v>
      </c>
      <c r="N40" s="205" t="s">
        <v>18</v>
      </c>
      <c r="O40" s="205" t="s">
        <v>23</v>
      </c>
      <c r="P40" s="205" t="s">
        <v>26</v>
      </c>
      <c r="Q40" s="199">
        <v>44</v>
      </c>
      <c r="R40" s="206" t="s">
        <v>26</v>
      </c>
      <c r="S40" s="90" t="s">
        <v>18</v>
      </c>
      <c r="T40" s="90" t="s">
        <v>18</v>
      </c>
      <c r="U40" s="90" t="s">
        <v>25</v>
      </c>
      <c r="V40" s="90" t="s">
        <v>18</v>
      </c>
      <c r="W40" s="90" t="s">
        <v>23</v>
      </c>
      <c r="X40" s="90" t="s">
        <v>23</v>
      </c>
      <c r="Y40" s="93">
        <v>44</v>
      </c>
      <c r="Z40" s="90" t="s">
        <v>18</v>
      </c>
      <c r="AA40" s="90" t="s">
        <v>18</v>
      </c>
      <c r="AB40" s="90" t="s">
        <v>25</v>
      </c>
      <c r="AC40" s="90" t="s">
        <v>26</v>
      </c>
      <c r="AD40" s="90" t="s">
        <v>18</v>
      </c>
      <c r="AE40" s="90" t="s">
        <v>26</v>
      </c>
      <c r="AF40" s="90" t="s">
        <v>26</v>
      </c>
      <c r="AG40" s="95">
        <f t="shared" si="11"/>
        <v>44</v>
      </c>
      <c r="AH40" s="90" t="s">
        <v>18</v>
      </c>
      <c r="AI40" s="209" t="s">
        <v>21</v>
      </c>
      <c r="AJ40" s="209" t="s">
        <v>21</v>
      </c>
      <c r="AK40" s="209" t="s">
        <v>21</v>
      </c>
      <c r="AL40" s="209" t="s">
        <v>21</v>
      </c>
      <c r="AM40" s="209" t="s">
        <v>21</v>
      </c>
      <c r="AN40" s="209" t="s">
        <v>21</v>
      </c>
      <c r="AO40" s="95">
        <f t="shared" si="12"/>
        <v>0</v>
      </c>
      <c r="AP40" s="209" t="s">
        <v>21</v>
      </c>
      <c r="AQ40" s="209" t="s">
        <v>21</v>
      </c>
      <c r="AR40" s="209" t="s">
        <v>21</v>
      </c>
      <c r="AS40" s="209" t="s">
        <v>21</v>
      </c>
      <c r="AT40" s="209" t="s">
        <v>21</v>
      </c>
      <c r="AU40" s="209" t="s">
        <v>21</v>
      </c>
      <c r="AV40" s="209" t="s">
        <v>21</v>
      </c>
      <c r="AW40" s="95">
        <f t="shared" si="13"/>
        <v>0</v>
      </c>
      <c r="AX40" s="31" t="s">
        <v>135</v>
      </c>
      <c r="AY40" s="125" t="s">
        <v>26</v>
      </c>
      <c r="AZ40" s="126" t="s">
        <v>18</v>
      </c>
    </row>
    <row r="41" spans="1:52" ht="21.75" customHeight="1" x14ac:dyDescent="0.25">
      <c r="A41" s="87">
        <v>32</v>
      </c>
      <c r="B41" s="138" t="s">
        <v>136</v>
      </c>
      <c r="C41" s="139">
        <v>1107051727</v>
      </c>
      <c r="D41" s="90" t="s">
        <v>18</v>
      </c>
      <c r="E41" s="91">
        <f t="shared" si="19"/>
        <v>0</v>
      </c>
      <c r="F41" s="92" t="s">
        <v>41</v>
      </c>
      <c r="G41" s="92" t="s">
        <v>41</v>
      </c>
      <c r="H41" s="92" t="s">
        <v>41</v>
      </c>
      <c r="I41" s="92" t="s">
        <v>41</v>
      </c>
      <c r="J41" s="92" t="s">
        <v>41</v>
      </c>
      <c r="K41" s="92" t="s">
        <v>41</v>
      </c>
      <c r="L41" s="92" t="s">
        <v>41</v>
      </c>
      <c r="M41" s="110">
        <v>36</v>
      </c>
      <c r="N41" s="205" t="s">
        <v>26</v>
      </c>
      <c r="O41" s="205" t="s">
        <v>18</v>
      </c>
      <c r="P41" s="205" t="s">
        <v>18</v>
      </c>
      <c r="Q41" s="200">
        <f>COUNTIF(N41:P41,"D")*12+COUNTIF(N41:P41,"D1")*11+COUNTIF(N41:P41,"N")*12+COUNTIF(N41:P41,"N1")*11+COUNTIF(N41:P41,"Din")*12+COUNTIF(N41:P41,"D1in")*11+COUNTIF(N41:P41,"Nin")*12+COUNTIF(N41:P41,"N1in")*11+COUNTIF(N41:P41,"M8")*8+COUNTIF(N41:P41,"T8")*8+COUNTIF(N41:P41,"N8")*8</f>
        <v>12</v>
      </c>
      <c r="R41" s="100" t="s">
        <v>18</v>
      </c>
      <c r="S41" s="100" t="s">
        <v>26</v>
      </c>
      <c r="T41" s="100" t="s">
        <v>18</v>
      </c>
      <c r="U41" s="100" t="s">
        <v>23</v>
      </c>
      <c r="V41" s="100" t="s">
        <v>29</v>
      </c>
      <c r="W41" s="100" t="s">
        <v>26</v>
      </c>
      <c r="X41" s="100" t="s">
        <v>18</v>
      </c>
      <c r="Y41" s="101">
        <f t="shared" ref="Y41:Y42" si="20">COUNTIF(R41:X41,"D")*12+COUNTIF(R41:X41,"D1")*11+COUNTIF(R41:X41,"N")*12+COUNTIF(R41:X41,"N1")*11+COUNTIF(R41:X41,"Din")*12+COUNTIF(R41:X41,"D1in")*11+COUNTIF(R41:X41,"Nin")*12+COUNTIF(R41:X41,"N1in")*11+COUNTIF(R41:X41,"M8")*8+COUNTIF(R41:X41,"T8")*8+COUNTIF(R41:X41,"N8")*8</f>
        <v>44</v>
      </c>
      <c r="Z41" s="100" t="s">
        <v>27</v>
      </c>
      <c r="AA41" s="100" t="s">
        <v>26</v>
      </c>
      <c r="AB41" s="100" t="s">
        <v>18</v>
      </c>
      <c r="AC41" s="100" t="s">
        <v>18</v>
      </c>
      <c r="AD41" s="100" t="s">
        <v>23</v>
      </c>
      <c r="AE41" s="100" t="s">
        <v>26</v>
      </c>
      <c r="AF41" s="100" t="s">
        <v>18</v>
      </c>
      <c r="AG41" s="95">
        <f t="shared" si="11"/>
        <v>44</v>
      </c>
      <c r="AH41" s="100" t="s">
        <v>26</v>
      </c>
      <c r="AI41" s="100" t="s">
        <v>18</v>
      </c>
      <c r="AJ41" s="100" t="s">
        <v>26</v>
      </c>
      <c r="AK41" s="100" t="s">
        <v>18</v>
      </c>
      <c r="AL41" s="100" t="s">
        <v>18</v>
      </c>
      <c r="AM41" s="100" t="s">
        <v>26</v>
      </c>
      <c r="AN41" s="100" t="s">
        <v>25</v>
      </c>
      <c r="AO41" s="95">
        <f t="shared" si="12"/>
        <v>44</v>
      </c>
      <c r="AP41" s="100" t="s">
        <v>18</v>
      </c>
      <c r="AQ41" s="100" t="s">
        <v>23</v>
      </c>
      <c r="AR41" s="100" t="s">
        <v>26</v>
      </c>
      <c r="AS41" s="100" t="s">
        <v>18</v>
      </c>
      <c r="AT41" s="100" t="s">
        <v>25</v>
      </c>
      <c r="AU41" s="100" t="s">
        <v>26</v>
      </c>
      <c r="AV41" s="100" t="s">
        <v>18</v>
      </c>
      <c r="AW41" s="95">
        <f t="shared" si="13"/>
        <v>44</v>
      </c>
      <c r="AX41" s="75"/>
      <c r="AY41" s="75"/>
      <c r="AZ41" s="54"/>
    </row>
    <row r="42" spans="1:52" ht="21.75" customHeight="1" x14ac:dyDescent="0.25">
      <c r="A42" s="87">
        <v>33</v>
      </c>
      <c r="B42" s="121" t="s">
        <v>137</v>
      </c>
      <c r="C42" s="130">
        <v>1114842012</v>
      </c>
      <c r="D42" s="140" t="s">
        <v>26</v>
      </c>
      <c r="E42" s="91">
        <f t="shared" si="19"/>
        <v>12</v>
      </c>
      <c r="F42" s="102" t="s">
        <v>21</v>
      </c>
      <c r="G42" s="102" t="s">
        <v>21</v>
      </c>
      <c r="H42" s="102" t="s">
        <v>21</v>
      </c>
      <c r="I42" s="102" t="s">
        <v>21</v>
      </c>
      <c r="J42" s="102" t="s">
        <v>21</v>
      </c>
      <c r="K42" s="102" t="s">
        <v>21</v>
      </c>
      <c r="L42" s="102" t="s">
        <v>21</v>
      </c>
      <c r="M42" s="110">
        <v>0</v>
      </c>
      <c r="N42" s="205" t="s">
        <v>18</v>
      </c>
      <c r="O42" s="205" t="s">
        <v>26</v>
      </c>
      <c r="P42" s="205" t="s">
        <v>18</v>
      </c>
      <c r="Q42" s="198">
        <f>COUNTIF(N42:P42,"D")*12+COUNTIF(N42:P42,"D1")*11+COUNTIF(N42:P42,"N")*12+COUNTIF(N42:P42,"N1")*11+COUNTIF(N42:P42,"Din")*12+COUNTIF(N42:P42,"D1in")*11+COUNTIF(N42:P42,"Nin")*12+COUNTIF(N42:P42,"N1in")*11+COUNTIF(N42:P42,"M8")*8+COUNTIF(N42:P42,"T8")*8+COUNTIF(N42:P42,"N8")*8</f>
        <v>12</v>
      </c>
      <c r="R42" s="94" t="s">
        <v>18</v>
      </c>
      <c r="S42" s="94" t="s">
        <v>29</v>
      </c>
      <c r="T42" s="94" t="s">
        <v>26</v>
      </c>
      <c r="U42" s="94" t="s">
        <v>18</v>
      </c>
      <c r="V42" s="115" t="s">
        <v>23</v>
      </c>
      <c r="W42" s="115" t="s">
        <v>18</v>
      </c>
      <c r="X42" s="115" t="s">
        <v>23</v>
      </c>
      <c r="Y42" s="97">
        <f t="shared" si="20"/>
        <v>44</v>
      </c>
      <c r="Z42" s="115" t="s">
        <v>18</v>
      </c>
      <c r="AA42" s="115" t="s">
        <v>18</v>
      </c>
      <c r="AB42" s="115" t="s">
        <v>18</v>
      </c>
      <c r="AC42" s="115" t="s">
        <v>29</v>
      </c>
      <c r="AD42" s="115" t="s">
        <v>23</v>
      </c>
      <c r="AE42" s="115" t="s">
        <v>23</v>
      </c>
      <c r="AF42" s="115" t="s">
        <v>26</v>
      </c>
      <c r="AG42" s="95">
        <f t="shared" si="11"/>
        <v>44</v>
      </c>
      <c r="AH42" s="115" t="s">
        <v>18</v>
      </c>
      <c r="AI42" s="115" t="s">
        <v>18</v>
      </c>
      <c r="AJ42" s="115" t="s">
        <v>23</v>
      </c>
      <c r="AK42" s="115" t="s">
        <v>26</v>
      </c>
      <c r="AL42" s="94" t="s">
        <v>18</v>
      </c>
      <c r="AM42" s="94" t="s">
        <v>27</v>
      </c>
      <c r="AN42" s="94" t="s">
        <v>26</v>
      </c>
      <c r="AO42" s="95">
        <f t="shared" si="12"/>
        <v>44</v>
      </c>
      <c r="AP42" s="94" t="s">
        <v>18</v>
      </c>
      <c r="AQ42" s="94" t="s">
        <v>23</v>
      </c>
      <c r="AR42" s="94" t="s">
        <v>26</v>
      </c>
      <c r="AS42" s="94" t="s">
        <v>18</v>
      </c>
      <c r="AT42" s="94" t="s">
        <v>27</v>
      </c>
      <c r="AU42" s="94" t="s">
        <v>26</v>
      </c>
      <c r="AV42" s="94" t="s">
        <v>18</v>
      </c>
      <c r="AW42" s="95">
        <f t="shared" si="13"/>
        <v>44</v>
      </c>
      <c r="AX42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42,"D")+COUNTIF(K42,"D1")+COUNTIF(K42,"N")+COUNTIF(K42,"N1")+COUNTIF(K42,"Din")+COUNTIF(K42,"D1in")+COUNTIF(K42,"Nin")+COUNTIF(K42,"N1in")+COUNTIF(K42,"DN")+COUNTIF(K42,"TN")+COUNTIF(K42,"NM")+COUNTIF(K42,"DA")+COUNTIF(K42,"DA")+COUNTIF(O42,"D")+COUNTIF(O42,"D1")+COUNTIF(O42,"N")+COUNTIF(O42,"N1")+COUNTIF(O42,"Din")+COUNTIF(O42,"D1in")+COUNTIF(O42,"Nin")+COUNTIF(O42,"N1in")+COUNTIF(O42,"DN")+COUNTIF(O42,"TN")+COUNTIF(O42,"NM")+COUNTIF(O42,"DA")+COUNTIF(O42,"DA")+COUNTIF(W42,"D")+COUNTIF(W42,"D1")+COUNTIF(W42,"N")+COUNTIF(W42,"N1")+COUNTIF(W42,"Din")+COUNTIF(W42,"D1in")+COUNTIF(W42,"Nin")+COUNTIF(W42,"N1in")+COUNTIF(W42,"DN")+COUNTIF(W42,"TN")+COUNTIF(W42,"NM")+COUNTIF(W42,"DA")+COUNTIF(W42,"DA")+COUNTIF(AU42,"D")+COUNTIF(AU42,"D1")+COUNTIF(AU42,"N")+COUNTIF(AU42,"N1")+COUNTIF(AU42,"Din")+COUNTIF(AU42,"D1in")+COUNTIF(AU42,"Nin")+COUNTIF(AU42,"N1in")+COUNTIF(AU42,"DN")+COUNTIF(AU42,"TN")+COUNTIF(AU42,"NM")+COUNTIF(AU42,"DA")+COUNTIF(AU42,"DA")</f>
        <v>#REF!</v>
      </c>
      <c r="AY42" s="75" t="e">
        <f>COUNTIF(D42,"D")+COUNTIF(D42,"D1")+COUNTIF(D42,"N")+COUNTIF(D42,"N1")+COUNTIF(D42,"Din")+COUNTIF(D42,"D1in")+COUNTIF(D42,"Nin")+COUNTIF(D42,"N1in")+COUNTIF(D42,"DN")+COUNTIF(D42,"TN")+COUNTIF(D42,"NM")+COUNTIF(D42,"DA")+COUNTIF(D42,"DA")+COUNTIF(L42,"D")+COUNTIF(L42,"D1")+COUNTIF(L42,"N")+COUNTIF(L42,"N1")+COUNTIF(L42,"Din")+COUNTIF(L42,"D1in")+COUNTIF(L42,"Nin")+COUNTIF(L42,"N1in")+COUNTIF(L42,"DN")+COUNTIF(L42,"TN")+COUNTIF(L42,"NM")+COUNTIF(L42,"DA")+COUNTIF(L42,"DA")+COUNTIF(P42,"D")+COUNTIF(P42,"D1")+COUNTIF(P42,"N")+COUNTIF(P42,"N1")+COUNTIF(P42,"Din")+COUNTIF(P42,"D1in")+COUNTIF(P42,"Nin")+COUNTIF(P42,"N1in")+COUNTIF(P42,"DN")+COUNTIF(P42,"TN")+COUNTIF(P42,"NM")+COUNTIF(P42,"DA")+COUNTIF(P42,"DA")+COUNTIF(X42,"D")+COUNTIF(X42,"D1")+COUNTIF(X42,"N")+COUNTIF(X42,"N1")+COUNTIF(X42,"Din")+COUNTIF(X42,"D1in")+COUNTIF(X42,"Nin")+COUNTIF(X42,"N1in")+COUNTIF(X42,"DN")+COUNTIF(X42,"TN")+COUNTIF(X42,"NM")+COUNTIF(X42,"DA")+COUNTIF(X42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42" s="58">
        <f>COUNTIF(D42:AU42,"N")+COUNTIF(D42:AU42,"N1")</f>
        <v>8</v>
      </c>
    </row>
    <row r="43" spans="1:52" ht="24" customHeight="1" x14ac:dyDescent="0.25">
      <c r="A43" s="87">
        <v>34</v>
      </c>
      <c r="B43" s="100" t="s">
        <v>138</v>
      </c>
      <c r="C43" s="136">
        <v>1112228246</v>
      </c>
      <c r="D43" s="103" t="s">
        <v>18</v>
      </c>
      <c r="E43" s="91">
        <f t="shared" si="19"/>
        <v>0</v>
      </c>
      <c r="F43" s="92" t="s">
        <v>18</v>
      </c>
      <c r="G43" s="92" t="s">
        <v>29</v>
      </c>
      <c r="H43" s="92" t="s">
        <v>18</v>
      </c>
      <c r="I43" s="92" t="s">
        <v>23</v>
      </c>
      <c r="J43" s="92" t="s">
        <v>23</v>
      </c>
      <c r="K43" s="92" t="s">
        <v>18</v>
      </c>
      <c r="L43" s="92" t="s">
        <v>23</v>
      </c>
      <c r="M43" s="110">
        <v>44</v>
      </c>
      <c r="N43" s="205" t="s">
        <v>23</v>
      </c>
      <c r="O43" s="205" t="s">
        <v>23</v>
      </c>
      <c r="P43" s="205" t="s">
        <v>18</v>
      </c>
      <c r="Q43" s="199">
        <v>44</v>
      </c>
      <c r="R43" s="90" t="s">
        <v>18</v>
      </c>
      <c r="S43" s="90" t="s">
        <v>18</v>
      </c>
      <c r="T43" s="90" t="s">
        <v>23</v>
      </c>
      <c r="U43" s="90" t="s">
        <v>23</v>
      </c>
      <c r="V43" s="90" t="s">
        <v>18</v>
      </c>
      <c r="W43" s="90" t="s">
        <v>18</v>
      </c>
      <c r="X43" s="90" t="s">
        <v>29</v>
      </c>
      <c r="Y43" s="93">
        <v>44</v>
      </c>
      <c r="Z43" s="90" t="s">
        <v>23</v>
      </c>
      <c r="AA43" s="90" t="s">
        <v>23</v>
      </c>
      <c r="AB43" s="90" t="s">
        <v>18</v>
      </c>
      <c r="AC43" s="90" t="s">
        <v>23</v>
      </c>
      <c r="AD43" s="90" t="s">
        <v>23</v>
      </c>
      <c r="AE43" s="90" t="s">
        <v>29</v>
      </c>
      <c r="AF43" s="90" t="s">
        <v>18</v>
      </c>
      <c r="AG43" s="95">
        <f t="shared" si="11"/>
        <v>56</v>
      </c>
      <c r="AH43" s="90" t="s">
        <v>23</v>
      </c>
      <c r="AI43" s="90" t="s">
        <v>41</v>
      </c>
      <c r="AJ43" s="90" t="s">
        <v>41</v>
      </c>
      <c r="AK43" s="90" t="s">
        <v>41</v>
      </c>
      <c r="AL43" s="90" t="s">
        <v>18</v>
      </c>
      <c r="AM43" s="90" t="s">
        <v>23</v>
      </c>
      <c r="AN43" s="90" t="s">
        <v>18</v>
      </c>
      <c r="AO43" s="95">
        <f t="shared" si="12"/>
        <v>24</v>
      </c>
      <c r="AP43" s="90" t="s">
        <v>18</v>
      </c>
      <c r="AQ43" s="90" t="s">
        <v>23</v>
      </c>
      <c r="AR43" s="90" t="s">
        <v>18</v>
      </c>
      <c r="AS43" s="90" t="s">
        <v>23</v>
      </c>
      <c r="AT43" s="90" t="s">
        <v>29</v>
      </c>
      <c r="AU43" s="90" t="s">
        <v>18</v>
      </c>
      <c r="AV43" s="90" t="s">
        <v>23</v>
      </c>
      <c r="AW43" s="95">
        <f t="shared" si="13"/>
        <v>44</v>
      </c>
      <c r="AX43" s="75"/>
      <c r="AY43" s="75"/>
      <c r="AZ43" s="58"/>
    </row>
    <row r="44" spans="1:52" ht="24.75" customHeight="1" x14ac:dyDescent="0.25">
      <c r="A44" s="87">
        <v>35</v>
      </c>
      <c r="B44" s="94" t="s">
        <v>139</v>
      </c>
      <c r="C44" s="139">
        <v>1109185174</v>
      </c>
      <c r="D44" s="103"/>
      <c r="E44" s="91">
        <f t="shared" si="19"/>
        <v>0</v>
      </c>
      <c r="F44" s="92" t="s">
        <v>18</v>
      </c>
      <c r="G44" s="92" t="s">
        <v>23</v>
      </c>
      <c r="H44" s="92" t="s">
        <v>25</v>
      </c>
      <c r="I44" s="92" t="s">
        <v>18</v>
      </c>
      <c r="J44" s="92" t="s">
        <v>23</v>
      </c>
      <c r="K44" s="92" t="s">
        <v>26</v>
      </c>
      <c r="L44" s="92" t="s">
        <v>18</v>
      </c>
      <c r="M44" s="110">
        <v>44</v>
      </c>
      <c r="N44" s="205" t="s">
        <v>18</v>
      </c>
      <c r="O44" s="205" t="s">
        <v>29</v>
      </c>
      <c r="P44" s="205" t="s">
        <v>26</v>
      </c>
      <c r="Q44" s="200">
        <f>COUNTIF(N44:P44,"D")*12+COUNTIF(N44:P44,"D1")*11+COUNTIF(N44:P44,"N")*12+COUNTIF(N44:P44,"N1")*11+COUNTIF(N44:P44,"Din")*12+COUNTIF(N44:P44,"D1in")*11+COUNTIF(N44:P44,"Nin")*12+COUNTIF(N44:P44,"N1in")*11+COUNTIF(N44:P44,"M8")*8+COUNTIF(N44:P44,"T8")*8+COUNTIF(N44:P44,"N8")*8</f>
        <v>20</v>
      </c>
      <c r="R44" s="213" t="s">
        <v>18</v>
      </c>
      <c r="S44" s="100" t="s">
        <v>26</v>
      </c>
      <c r="T44" s="100" t="s">
        <v>18</v>
      </c>
      <c r="U44" s="100" t="s">
        <v>23</v>
      </c>
      <c r="V44" s="100" t="s">
        <v>27</v>
      </c>
      <c r="W44" s="100" t="s">
        <v>26</v>
      </c>
      <c r="X44" s="100" t="s">
        <v>18</v>
      </c>
      <c r="Y44" s="101">
        <f t="shared" ref="Y44:Y48" si="21">COUNTIF(R44:X44,"D")*12+COUNTIF(R44:X44,"D1")*11+COUNTIF(R44:X44,"N")*12+COUNTIF(R44:X44,"N1")*11+COUNTIF(R44:X44,"Din")*12+COUNTIF(R44:X44,"D1in")*11+COUNTIF(R44:X44,"Nin")*12+COUNTIF(R44:X44,"N1in")*11+COUNTIF(R44:X44,"M8")*8+COUNTIF(R44:X44,"T8")*8+COUNTIF(R44:X44,"N8")*8</f>
        <v>44</v>
      </c>
      <c r="Z44" s="100" t="s">
        <v>26</v>
      </c>
      <c r="AA44" s="100" t="s">
        <v>18</v>
      </c>
      <c r="AB44" s="100" t="s">
        <v>18</v>
      </c>
      <c r="AC44" s="100" t="s">
        <v>25</v>
      </c>
      <c r="AD44" s="114" t="s">
        <v>18</v>
      </c>
      <c r="AE44" s="100" t="s">
        <v>23</v>
      </c>
      <c r="AF44" s="100" t="s">
        <v>23</v>
      </c>
      <c r="AG44" s="95">
        <f t="shared" si="11"/>
        <v>44</v>
      </c>
      <c r="AH44" s="100" t="s">
        <v>26</v>
      </c>
      <c r="AI44" s="100" t="s">
        <v>18</v>
      </c>
      <c r="AJ44" s="100" t="s">
        <v>26</v>
      </c>
      <c r="AK44" s="100" t="s">
        <v>18</v>
      </c>
      <c r="AL44" s="100" t="s">
        <v>18</v>
      </c>
      <c r="AM44" s="100" t="s">
        <v>29</v>
      </c>
      <c r="AN44" s="100" t="s">
        <v>23</v>
      </c>
      <c r="AO44" s="95">
        <f t="shared" si="12"/>
        <v>44</v>
      </c>
      <c r="AP44" s="100" t="s">
        <v>26</v>
      </c>
      <c r="AQ44" s="100" t="s">
        <v>18</v>
      </c>
      <c r="AR44" s="100" t="s">
        <v>26</v>
      </c>
      <c r="AS44" s="100" t="s">
        <v>18</v>
      </c>
      <c r="AT44" s="100" t="s">
        <v>26</v>
      </c>
      <c r="AU44" s="100" t="s">
        <v>18</v>
      </c>
      <c r="AV44" s="100" t="s">
        <v>25</v>
      </c>
      <c r="AW44" s="95">
        <f t="shared" si="13"/>
        <v>44</v>
      </c>
      <c r="AX44" s="75"/>
      <c r="AY44" s="75"/>
      <c r="AZ44" s="58"/>
    </row>
    <row r="45" spans="1:52" ht="21.75" customHeight="1" x14ac:dyDescent="0.25">
      <c r="A45" s="87">
        <v>36</v>
      </c>
      <c r="B45" s="141" t="s">
        <v>140</v>
      </c>
      <c r="C45" s="142">
        <v>1114241306</v>
      </c>
      <c r="D45" s="103"/>
      <c r="E45" s="91"/>
      <c r="F45" s="92" t="s">
        <v>23</v>
      </c>
      <c r="G45" s="92" t="s">
        <v>23</v>
      </c>
      <c r="H45" s="92" t="s">
        <v>18</v>
      </c>
      <c r="I45" s="92" t="s">
        <v>18</v>
      </c>
      <c r="J45" s="92" t="s">
        <v>29</v>
      </c>
      <c r="K45" s="92" t="s">
        <v>23</v>
      </c>
      <c r="L45" s="92" t="s">
        <v>18</v>
      </c>
      <c r="M45" s="110">
        <v>44</v>
      </c>
      <c r="N45" s="205" t="s">
        <v>21</v>
      </c>
      <c r="O45" s="205" t="s">
        <v>21</v>
      </c>
      <c r="P45" s="205" t="s">
        <v>21</v>
      </c>
      <c r="Q45" s="128">
        <f>COUNTIF(N45:P45,"D")*12+COUNTIF(N45:P45,"D1")*11+COUNTIF(N45:P45,"N")*12+COUNTIF(N45:P45,"N1")*11+COUNTIF(N45:P45,"Din")*12+COUNTIF(N45:P45,"D1in")*11+COUNTIF(N45:P45,"Nin")*12+COUNTIF(N45:P45,"N1in")*11+COUNTIF(N45:P45,"M8")*8+COUNTIF(N45:P45,"T8")*8+COUNTIF(N45:P45,"N8")*8</f>
        <v>0</v>
      </c>
      <c r="R45" s="209" t="s">
        <v>21</v>
      </c>
      <c r="S45" s="209" t="s">
        <v>21</v>
      </c>
      <c r="T45" s="209" t="s">
        <v>21</v>
      </c>
      <c r="U45" s="209" t="s">
        <v>21</v>
      </c>
      <c r="V45" s="209" t="s">
        <v>21</v>
      </c>
      <c r="W45" s="209" t="s">
        <v>21</v>
      </c>
      <c r="X45" s="209" t="s">
        <v>21</v>
      </c>
      <c r="Y45" s="95">
        <f t="shared" si="21"/>
        <v>0</v>
      </c>
      <c r="Z45" s="209" t="s">
        <v>21</v>
      </c>
      <c r="AA45" s="209" t="s">
        <v>21</v>
      </c>
      <c r="AB45" s="209" t="s">
        <v>21</v>
      </c>
      <c r="AC45" s="209" t="s">
        <v>21</v>
      </c>
      <c r="AD45" s="209" t="s">
        <v>21</v>
      </c>
      <c r="AE45" s="90" t="s">
        <v>23</v>
      </c>
      <c r="AF45" s="90" t="s">
        <v>18</v>
      </c>
      <c r="AG45" s="95">
        <f t="shared" si="11"/>
        <v>12</v>
      </c>
      <c r="AH45" s="90" t="s">
        <v>27</v>
      </c>
      <c r="AI45" s="103" t="s">
        <v>26</v>
      </c>
      <c r="AJ45" s="103" t="s">
        <v>18</v>
      </c>
      <c r="AK45" s="103" t="s">
        <v>18</v>
      </c>
      <c r="AL45" s="90" t="s">
        <v>23</v>
      </c>
      <c r="AM45" s="90" t="s">
        <v>26</v>
      </c>
      <c r="AN45" s="90" t="s">
        <v>18</v>
      </c>
      <c r="AO45" s="95">
        <f t="shared" si="12"/>
        <v>44</v>
      </c>
      <c r="AP45" s="90" t="s">
        <v>26</v>
      </c>
      <c r="AQ45" s="90" t="s">
        <v>18</v>
      </c>
      <c r="AR45" s="90" t="s">
        <v>23</v>
      </c>
      <c r="AS45" s="90" t="s">
        <v>25</v>
      </c>
      <c r="AT45" s="90" t="s">
        <v>18</v>
      </c>
      <c r="AU45" s="90" t="s">
        <v>26</v>
      </c>
      <c r="AV45" s="90" t="s">
        <v>18</v>
      </c>
      <c r="AW45" s="95">
        <f t="shared" si="13"/>
        <v>44</v>
      </c>
      <c r="AX45" s="75"/>
      <c r="AY45" s="75"/>
      <c r="AZ45" s="58"/>
    </row>
    <row r="46" spans="1:52" ht="24.75" customHeight="1" x14ac:dyDescent="0.25">
      <c r="A46" s="87">
        <v>37</v>
      </c>
      <c r="B46" s="104" t="s">
        <v>141</v>
      </c>
      <c r="C46" s="143">
        <v>1113645084</v>
      </c>
      <c r="D46" s="103"/>
      <c r="E46" s="91"/>
      <c r="F46" s="92" t="s">
        <v>23</v>
      </c>
      <c r="G46" s="92" t="s">
        <v>26</v>
      </c>
      <c r="H46" s="92" t="s">
        <v>18</v>
      </c>
      <c r="I46" s="92" t="s">
        <v>23</v>
      </c>
      <c r="J46" s="92" t="s">
        <v>18</v>
      </c>
      <c r="K46" s="92" t="s">
        <v>27</v>
      </c>
      <c r="L46" s="92" t="s">
        <v>18</v>
      </c>
      <c r="M46" s="110">
        <v>44</v>
      </c>
      <c r="N46" s="205" t="s">
        <v>21</v>
      </c>
      <c r="O46" s="205" t="s">
        <v>21</v>
      </c>
      <c r="P46" s="205" t="s">
        <v>21</v>
      </c>
      <c r="Q46" s="128">
        <f>COUNTIF(N46:P46,"D")*12+COUNTIF(N46:P46,"D1")*11+COUNTIF(N46:P46,"N")*12+COUNTIF(N46:P46,"N1")*11+COUNTIF(N46:P46,"Din")*12+COUNTIF(N46:P46,"D1in")*11+COUNTIF(N46:P46,"Nin")*12+COUNTIF(N46:P46,"N1in")*11+COUNTIF(N46:P46,"M8")*8+COUNTIF(N46:P46,"T8")*8+COUNTIF(N46:P46,"N8")*8</f>
        <v>0</v>
      </c>
      <c r="R46" s="209" t="s">
        <v>21</v>
      </c>
      <c r="S46" s="209" t="s">
        <v>21</v>
      </c>
      <c r="T46" s="209" t="s">
        <v>21</v>
      </c>
      <c r="U46" s="209" t="s">
        <v>21</v>
      </c>
      <c r="V46" s="209" t="s">
        <v>21</v>
      </c>
      <c r="W46" s="209" t="s">
        <v>21</v>
      </c>
      <c r="X46" s="209" t="s">
        <v>21</v>
      </c>
      <c r="Y46" s="95">
        <f t="shared" si="21"/>
        <v>0</v>
      </c>
      <c r="Z46" s="209" t="s">
        <v>21</v>
      </c>
      <c r="AA46" s="94" t="s">
        <v>26</v>
      </c>
      <c r="AB46" s="90" t="s">
        <v>18</v>
      </c>
      <c r="AC46" s="90" t="s">
        <v>23</v>
      </c>
      <c r="AD46" s="103" t="s">
        <v>25</v>
      </c>
      <c r="AE46" s="90" t="s">
        <v>26</v>
      </c>
      <c r="AF46" s="90" t="s">
        <v>18</v>
      </c>
      <c r="AG46" s="95">
        <f t="shared" si="11"/>
        <v>44</v>
      </c>
      <c r="AH46" s="90" t="s">
        <v>26</v>
      </c>
      <c r="AI46" s="90" t="s">
        <v>18</v>
      </c>
      <c r="AJ46" s="211" t="s">
        <v>23</v>
      </c>
      <c r="AK46" s="90" t="s">
        <v>26</v>
      </c>
      <c r="AL46" s="90" t="s">
        <v>18</v>
      </c>
      <c r="AM46" s="90" t="s">
        <v>27</v>
      </c>
      <c r="AN46" s="90" t="s">
        <v>18</v>
      </c>
      <c r="AO46" s="95">
        <f t="shared" si="12"/>
        <v>44</v>
      </c>
      <c r="AP46" s="90" t="s">
        <v>18</v>
      </c>
      <c r="AQ46" s="90" t="s">
        <v>23</v>
      </c>
      <c r="AR46" s="90" t="s">
        <v>23</v>
      </c>
      <c r="AS46" s="90" t="s">
        <v>27</v>
      </c>
      <c r="AT46" s="90" t="s">
        <v>26</v>
      </c>
      <c r="AU46" s="90" t="s">
        <v>18</v>
      </c>
      <c r="AV46" s="90" t="s">
        <v>18</v>
      </c>
      <c r="AW46" s="95">
        <f t="shared" si="13"/>
        <v>44</v>
      </c>
      <c r="AX46" s="75"/>
      <c r="AY46" s="75"/>
      <c r="AZ46" s="58"/>
    </row>
    <row r="47" spans="1:52" ht="24.75" customHeight="1" x14ac:dyDescent="0.25">
      <c r="A47" s="87">
        <v>38</v>
      </c>
      <c r="B47" s="90" t="s">
        <v>142</v>
      </c>
      <c r="C47" s="144">
        <v>1111539768</v>
      </c>
      <c r="D47" s="103"/>
      <c r="E47" s="91"/>
      <c r="F47" s="92" t="s">
        <v>18</v>
      </c>
      <c r="G47" s="92" t="s">
        <v>18</v>
      </c>
      <c r="H47" s="92" t="s">
        <v>26</v>
      </c>
      <c r="I47" s="92" t="s">
        <v>18</v>
      </c>
      <c r="J47" s="92" t="s">
        <v>23</v>
      </c>
      <c r="K47" s="92" t="s">
        <v>23</v>
      </c>
      <c r="L47" s="92" t="s">
        <v>29</v>
      </c>
      <c r="M47" s="110">
        <v>44</v>
      </c>
      <c r="N47" s="205" t="s">
        <v>21</v>
      </c>
      <c r="O47" s="205" t="s">
        <v>21</v>
      </c>
      <c r="P47" s="205" t="s">
        <v>21</v>
      </c>
      <c r="Q47" s="128">
        <f>COUNTIF(N47:P47,"D")*12+COUNTIF(N47:P47,"D1")*11+COUNTIF(N47:P47,"N")*12+COUNTIF(N47:P47,"N1")*11+COUNTIF(N47:P47,"Din")*12+COUNTIF(N47:P47,"D1in")*11+COUNTIF(N47:P47,"Nin")*12+COUNTIF(N47:P47,"N1in")*11+COUNTIF(N47:P47,"M8")*8+COUNTIF(N47:P47,"T8")*8+COUNTIF(N47:P47,"N8")*8</f>
        <v>0</v>
      </c>
      <c r="R47" s="209" t="s">
        <v>21</v>
      </c>
      <c r="S47" s="209" t="s">
        <v>21</v>
      </c>
      <c r="T47" s="209" t="s">
        <v>21</v>
      </c>
      <c r="U47" s="209" t="s">
        <v>21</v>
      </c>
      <c r="V47" s="209" t="s">
        <v>21</v>
      </c>
      <c r="W47" s="209" t="s">
        <v>21</v>
      </c>
      <c r="X47" s="209" t="s">
        <v>21</v>
      </c>
      <c r="Y47" s="95">
        <f t="shared" si="21"/>
        <v>0</v>
      </c>
      <c r="Z47" s="209" t="s">
        <v>21</v>
      </c>
      <c r="AA47" s="209" t="s">
        <v>21</v>
      </c>
      <c r="AB47" s="209" t="s">
        <v>21</v>
      </c>
      <c r="AC47" s="209" t="s">
        <v>21</v>
      </c>
      <c r="AD47" s="209" t="s">
        <v>21</v>
      </c>
      <c r="AE47" s="90" t="s">
        <v>23</v>
      </c>
      <c r="AF47" s="90" t="s">
        <v>18</v>
      </c>
      <c r="AG47" s="95">
        <f t="shared" si="11"/>
        <v>12</v>
      </c>
      <c r="AH47" s="90" t="s">
        <v>23</v>
      </c>
      <c r="AI47" s="90" t="s">
        <v>29</v>
      </c>
      <c r="AJ47" s="90" t="s">
        <v>18</v>
      </c>
      <c r="AK47" s="90" t="s">
        <v>26</v>
      </c>
      <c r="AL47" s="90" t="s">
        <v>18</v>
      </c>
      <c r="AM47" s="90" t="s">
        <v>23</v>
      </c>
      <c r="AN47" s="90" t="s">
        <v>27</v>
      </c>
      <c r="AO47" s="95">
        <f t="shared" si="12"/>
        <v>52</v>
      </c>
      <c r="AP47" s="90" t="s">
        <v>18</v>
      </c>
      <c r="AQ47" s="90" t="s">
        <v>18</v>
      </c>
      <c r="AR47" s="90" t="s">
        <v>23</v>
      </c>
      <c r="AS47" s="90" t="s">
        <v>26</v>
      </c>
      <c r="AT47" s="90" t="s">
        <v>18</v>
      </c>
      <c r="AU47" s="90" t="s">
        <v>26</v>
      </c>
      <c r="AV47" s="90" t="s">
        <v>18</v>
      </c>
      <c r="AW47" s="95">
        <f t="shared" si="13"/>
        <v>36</v>
      </c>
      <c r="AX47" s="75"/>
      <c r="AY47" s="75"/>
      <c r="AZ47" s="58"/>
    </row>
    <row r="48" spans="1:52" ht="23.25" customHeight="1" x14ac:dyDescent="0.25">
      <c r="A48" s="87">
        <v>39</v>
      </c>
      <c r="B48" s="135" t="s">
        <v>143</v>
      </c>
      <c r="C48" s="139">
        <v>1116070953</v>
      </c>
      <c r="D48" s="103"/>
      <c r="E48" s="91"/>
      <c r="F48" s="92" t="s">
        <v>23</v>
      </c>
      <c r="G48" s="92" t="s">
        <v>25</v>
      </c>
      <c r="H48" s="92" t="s">
        <v>18</v>
      </c>
      <c r="I48" s="92" t="s">
        <v>18</v>
      </c>
      <c r="J48" s="92" t="s">
        <v>23</v>
      </c>
      <c r="K48" s="92" t="s">
        <v>26</v>
      </c>
      <c r="L48" s="92" t="s">
        <v>18</v>
      </c>
      <c r="M48" s="110">
        <v>44</v>
      </c>
      <c r="N48" s="205" t="s">
        <v>25</v>
      </c>
      <c r="O48" s="205" t="s">
        <v>26</v>
      </c>
      <c r="P48" s="205" t="s">
        <v>18</v>
      </c>
      <c r="Q48" s="198">
        <f>COUNTIF(N48:P48,"D")*12+COUNTIF(N48:P48,"D1")*11+COUNTIF(N48:P48,"N")*12+COUNTIF(N48:P48,"N1")*11+COUNTIF(N48:P48,"Din")*12+COUNTIF(N48:P48,"D1in")*11+COUNTIF(N48:P48,"Nin")*12+COUNTIF(N48:P48,"N1in")*11+COUNTIF(N48:P48,"M8")*8+COUNTIF(N48:P48,"T8")*8+COUNTIF(N48:P48,"N8")*8</f>
        <v>20</v>
      </c>
      <c r="R48" s="94" t="s">
        <v>26</v>
      </c>
      <c r="S48" s="94" t="s">
        <v>18</v>
      </c>
      <c r="T48" s="94" t="s">
        <v>27</v>
      </c>
      <c r="U48" s="94" t="s">
        <v>26</v>
      </c>
      <c r="V48" s="94" t="s">
        <v>18</v>
      </c>
      <c r="W48" s="94" t="s">
        <v>23</v>
      </c>
      <c r="X48" s="94" t="s">
        <v>18</v>
      </c>
      <c r="Y48" s="97">
        <f t="shared" si="21"/>
        <v>44</v>
      </c>
      <c r="Z48" s="94" t="s">
        <v>18</v>
      </c>
      <c r="AA48" s="94" t="s">
        <v>18</v>
      </c>
      <c r="AB48" s="94" t="s">
        <v>29</v>
      </c>
      <c r="AC48" s="94" t="s">
        <v>26</v>
      </c>
      <c r="AD48" s="94" t="s">
        <v>18</v>
      </c>
      <c r="AE48" s="94" t="s">
        <v>23</v>
      </c>
      <c r="AF48" s="94" t="s">
        <v>26</v>
      </c>
      <c r="AG48" s="95">
        <f t="shared" si="11"/>
        <v>44</v>
      </c>
      <c r="AH48" s="94" t="s">
        <v>18</v>
      </c>
      <c r="AI48" s="94" t="s">
        <v>26</v>
      </c>
      <c r="AJ48" s="94" t="s">
        <v>26</v>
      </c>
      <c r="AK48" s="94" t="s">
        <v>18</v>
      </c>
      <c r="AL48" s="94" t="s">
        <v>18</v>
      </c>
      <c r="AM48" s="94" t="s">
        <v>23</v>
      </c>
      <c r="AN48" s="94" t="s">
        <v>26</v>
      </c>
      <c r="AO48" s="95">
        <f t="shared" si="12"/>
        <v>48</v>
      </c>
      <c r="AP48" s="94" t="s">
        <v>18</v>
      </c>
      <c r="AQ48" s="94" t="s">
        <v>18</v>
      </c>
      <c r="AR48" s="94" t="s">
        <v>29</v>
      </c>
      <c r="AS48" s="94" t="s">
        <v>29</v>
      </c>
      <c r="AT48" s="94" t="s">
        <v>26</v>
      </c>
      <c r="AU48" s="94" t="s">
        <v>18</v>
      </c>
      <c r="AV48" s="115" t="s">
        <v>26</v>
      </c>
      <c r="AW48" s="95">
        <f t="shared" si="13"/>
        <v>40</v>
      </c>
      <c r="AX48" s="75"/>
      <c r="AY48" s="75"/>
      <c r="AZ48" s="58"/>
    </row>
    <row r="49" spans="1:52" ht="22.5" customHeight="1" x14ac:dyDescent="0.25">
      <c r="A49" s="87">
        <v>40</v>
      </c>
      <c r="B49" s="94" t="s">
        <v>144</v>
      </c>
      <c r="C49" s="139">
        <v>1114877382</v>
      </c>
      <c r="D49" s="115"/>
      <c r="E49" s="145"/>
      <c r="F49" s="92" t="s">
        <v>23</v>
      </c>
      <c r="G49" s="92" t="s">
        <v>18</v>
      </c>
      <c r="H49" s="92" t="s">
        <v>26</v>
      </c>
      <c r="I49" s="92" t="s">
        <v>18</v>
      </c>
      <c r="J49" s="92" t="s">
        <v>18</v>
      </c>
      <c r="K49" s="92" t="s">
        <v>23</v>
      </c>
      <c r="L49" s="92" t="s">
        <v>29</v>
      </c>
      <c r="M49" s="110">
        <v>44</v>
      </c>
      <c r="N49" s="205" t="s">
        <v>26</v>
      </c>
      <c r="O49" s="205" t="s">
        <v>18</v>
      </c>
      <c r="P49" s="205" t="s">
        <v>29</v>
      </c>
      <c r="Q49" s="199">
        <v>44</v>
      </c>
      <c r="R49" s="90" t="s">
        <v>23</v>
      </c>
      <c r="S49" s="90" t="s">
        <v>18</v>
      </c>
      <c r="T49" s="90" t="s">
        <v>26</v>
      </c>
      <c r="U49" s="90" t="s">
        <v>18</v>
      </c>
      <c r="V49" s="90" t="s">
        <v>18</v>
      </c>
      <c r="W49" s="90" t="s">
        <v>23</v>
      </c>
      <c r="X49" s="90" t="s">
        <v>27</v>
      </c>
      <c r="Y49" s="93">
        <v>44</v>
      </c>
      <c r="Z49" s="90" t="s">
        <v>23</v>
      </c>
      <c r="AA49" s="90" t="s">
        <v>27</v>
      </c>
      <c r="AB49" s="90" t="s">
        <v>26</v>
      </c>
      <c r="AC49" s="90" t="s">
        <v>18</v>
      </c>
      <c r="AD49" s="90" t="s">
        <v>26</v>
      </c>
      <c r="AE49" s="90" t="s">
        <v>18</v>
      </c>
      <c r="AF49" s="90" t="s">
        <v>18</v>
      </c>
      <c r="AG49" s="95">
        <f t="shared" si="11"/>
        <v>44</v>
      </c>
      <c r="AH49" s="90" t="s">
        <v>23</v>
      </c>
      <c r="AI49" s="212" t="s">
        <v>26</v>
      </c>
      <c r="AJ49" s="212" t="s">
        <v>26</v>
      </c>
      <c r="AK49" s="90" t="s">
        <v>18</v>
      </c>
      <c r="AL49" s="90" t="s">
        <v>41</v>
      </c>
      <c r="AM49" s="90" t="s">
        <v>41</v>
      </c>
      <c r="AN49" s="90" t="s">
        <v>41</v>
      </c>
      <c r="AO49" s="95">
        <f t="shared" si="12"/>
        <v>36</v>
      </c>
      <c r="AP49" s="90" t="s">
        <v>23</v>
      </c>
      <c r="AQ49" s="90" t="s">
        <v>25</v>
      </c>
      <c r="AR49" s="90" t="s">
        <v>26</v>
      </c>
      <c r="AS49" s="90" t="s">
        <v>18</v>
      </c>
      <c r="AT49" s="90" t="s">
        <v>18</v>
      </c>
      <c r="AU49" s="90" t="s">
        <v>18</v>
      </c>
      <c r="AV49" s="90" t="s">
        <v>18</v>
      </c>
      <c r="AW49" s="95">
        <f t="shared" si="13"/>
        <v>32</v>
      </c>
      <c r="AX49" s="75"/>
      <c r="AY49" s="75"/>
      <c r="AZ49" s="58"/>
    </row>
    <row r="50" spans="1:52" ht="24.75" customHeight="1" x14ac:dyDescent="0.25">
      <c r="A50" s="87">
        <v>41</v>
      </c>
      <c r="B50" s="94" t="s">
        <v>145</v>
      </c>
      <c r="C50" s="139">
        <v>66778827</v>
      </c>
      <c r="D50" s="103"/>
      <c r="E50" s="91"/>
      <c r="F50" s="92" t="s">
        <v>26</v>
      </c>
      <c r="G50" s="92" t="s">
        <v>18</v>
      </c>
      <c r="H50" s="92" t="s">
        <v>23</v>
      </c>
      <c r="I50" s="92" t="s">
        <v>26</v>
      </c>
      <c r="J50" s="92" t="s">
        <v>18</v>
      </c>
      <c r="K50" s="92" t="s">
        <v>25</v>
      </c>
      <c r="L50" s="92" t="s">
        <v>18</v>
      </c>
      <c r="M50" s="110">
        <v>44</v>
      </c>
      <c r="N50" s="205" t="s">
        <v>29</v>
      </c>
      <c r="O50" s="205" t="s">
        <v>18</v>
      </c>
      <c r="P50" s="205" t="s">
        <v>18</v>
      </c>
      <c r="Q50" s="200">
        <f t="shared" ref="Q50:Q56" si="22">COUNTIF(N50:P50,"D")*12+COUNTIF(N50:P50,"D1")*11+COUNTIF(N50:P50,"N")*12+COUNTIF(N50:P50,"N1")*11+COUNTIF(N50:P50,"Din")*12+COUNTIF(N50:P50,"D1in")*11+COUNTIF(N50:P50,"Nin")*12+COUNTIF(N50:P50,"N1in")*11+COUNTIF(N50:P50,"M8")*8+COUNTIF(N50:P50,"T8")*8+COUNTIF(N50:P50,"N8")*8</f>
        <v>8</v>
      </c>
      <c r="R50" s="100" t="s">
        <v>18</v>
      </c>
      <c r="S50" s="100" t="s">
        <v>18</v>
      </c>
      <c r="T50" s="214" t="s">
        <v>41</v>
      </c>
      <c r="U50" s="100" t="s">
        <v>41</v>
      </c>
      <c r="V50" s="100" t="s">
        <v>41</v>
      </c>
      <c r="W50" s="100" t="s">
        <v>18</v>
      </c>
      <c r="X50" s="214" t="s">
        <v>26</v>
      </c>
      <c r="Y50" s="101">
        <f t="shared" ref="Y50:Y57" si="23">COUNTIF(R50:X50,"D")*12+COUNTIF(R50:X50,"D1")*11+COUNTIF(R50:X50,"N")*12+COUNTIF(R50:X50,"N1")*11+COUNTIF(R50:X50,"Din")*12+COUNTIF(R50:X50,"D1in")*11+COUNTIF(R50:X50,"Nin")*12+COUNTIF(R50:X50,"N1in")*11+COUNTIF(R50:X50,"M8")*8+COUNTIF(R50:X50,"T8")*8+COUNTIF(R50:X50,"N8")*8</f>
        <v>12</v>
      </c>
      <c r="Z50" s="100" t="s">
        <v>18</v>
      </c>
      <c r="AA50" s="209" t="s">
        <v>21</v>
      </c>
      <c r="AB50" s="209" t="s">
        <v>21</v>
      </c>
      <c r="AC50" s="209" t="s">
        <v>21</v>
      </c>
      <c r="AD50" s="209" t="s">
        <v>21</v>
      </c>
      <c r="AE50" s="209" t="s">
        <v>21</v>
      </c>
      <c r="AF50" s="209" t="s">
        <v>21</v>
      </c>
      <c r="AG50" s="95">
        <f t="shared" si="11"/>
        <v>0</v>
      </c>
      <c r="AH50" s="209" t="s">
        <v>21</v>
      </c>
      <c r="AI50" s="209" t="s">
        <v>21</v>
      </c>
      <c r="AJ50" s="209" t="s">
        <v>21</v>
      </c>
      <c r="AK50" s="209" t="s">
        <v>21</v>
      </c>
      <c r="AL50" s="209" t="s">
        <v>21</v>
      </c>
      <c r="AM50" s="209" t="s">
        <v>21</v>
      </c>
      <c r="AN50" s="209" t="s">
        <v>21</v>
      </c>
      <c r="AO50" s="95">
        <f t="shared" si="12"/>
        <v>0</v>
      </c>
      <c r="AP50" s="209" t="s">
        <v>21</v>
      </c>
      <c r="AQ50" s="209" t="s">
        <v>21</v>
      </c>
      <c r="AR50" s="209" t="s">
        <v>21</v>
      </c>
      <c r="AS50" s="209" t="s">
        <v>21</v>
      </c>
      <c r="AT50" s="209" t="s">
        <v>21</v>
      </c>
      <c r="AU50" s="209" t="s">
        <v>21</v>
      </c>
      <c r="AV50" s="209" t="s">
        <v>21</v>
      </c>
      <c r="AW50" s="95">
        <f t="shared" si="13"/>
        <v>0</v>
      </c>
      <c r="AX50" s="75"/>
      <c r="AY50" s="75"/>
      <c r="AZ50" s="58"/>
    </row>
    <row r="51" spans="1:52" ht="22.5" customHeight="1" x14ac:dyDescent="0.25">
      <c r="A51" s="87">
        <v>42</v>
      </c>
      <c r="B51" s="94" t="s">
        <v>146</v>
      </c>
      <c r="C51" s="146">
        <v>1006324140</v>
      </c>
      <c r="D51" s="147"/>
      <c r="E51" s="148"/>
      <c r="F51" s="92" t="s">
        <v>25</v>
      </c>
      <c r="G51" s="92" t="s">
        <v>18</v>
      </c>
      <c r="H51" s="92" t="s">
        <v>23</v>
      </c>
      <c r="I51" s="92" t="s">
        <v>27</v>
      </c>
      <c r="J51" s="99" t="s">
        <v>36</v>
      </c>
      <c r="K51" s="92" t="s">
        <v>18</v>
      </c>
      <c r="L51" s="92" t="s">
        <v>23</v>
      </c>
      <c r="M51" s="110">
        <v>40</v>
      </c>
      <c r="N51" s="205" t="s">
        <v>23</v>
      </c>
      <c r="O51" s="205" t="s">
        <v>23</v>
      </c>
      <c r="P51" s="205" t="s">
        <v>25</v>
      </c>
      <c r="Q51" s="128">
        <f t="shared" si="22"/>
        <v>32</v>
      </c>
      <c r="R51" s="206" t="s">
        <v>18</v>
      </c>
      <c r="S51" s="90" t="s">
        <v>23</v>
      </c>
      <c r="T51" s="90" t="s">
        <v>27</v>
      </c>
      <c r="U51" s="90" t="s">
        <v>26</v>
      </c>
      <c r="V51" s="90" t="s">
        <v>18</v>
      </c>
      <c r="W51" s="90" t="s">
        <v>26</v>
      </c>
      <c r="X51" s="211" t="s">
        <v>18</v>
      </c>
      <c r="Y51" s="95">
        <f t="shared" si="23"/>
        <v>44</v>
      </c>
      <c r="Z51" s="221" t="s">
        <v>23</v>
      </c>
      <c r="AA51" s="90" t="s">
        <v>23</v>
      </c>
      <c r="AB51" s="90" t="s">
        <v>29</v>
      </c>
      <c r="AC51" s="90" t="s">
        <v>26</v>
      </c>
      <c r="AD51" s="90" t="s">
        <v>18</v>
      </c>
      <c r="AE51" s="90" t="s">
        <v>18</v>
      </c>
      <c r="AF51" s="90" t="s">
        <v>18</v>
      </c>
      <c r="AG51" s="95">
        <f t="shared" si="11"/>
        <v>44</v>
      </c>
      <c r="AH51" s="103" t="s">
        <v>23</v>
      </c>
      <c r="AI51" s="223" t="s">
        <v>18</v>
      </c>
      <c r="AJ51" s="103" t="s">
        <v>29</v>
      </c>
      <c r="AK51" s="103" t="s">
        <v>26</v>
      </c>
      <c r="AL51" s="103" t="s">
        <v>18</v>
      </c>
      <c r="AM51" s="103" t="s">
        <v>18</v>
      </c>
      <c r="AN51" s="103" t="s">
        <v>23</v>
      </c>
      <c r="AO51" s="95">
        <f t="shared" si="12"/>
        <v>44</v>
      </c>
      <c r="AP51" s="103" t="s">
        <v>25</v>
      </c>
      <c r="AQ51" s="103" t="s">
        <v>18</v>
      </c>
      <c r="AR51" s="103" t="s">
        <v>26</v>
      </c>
      <c r="AS51" s="103" t="s">
        <v>18</v>
      </c>
      <c r="AT51" s="103" t="s">
        <v>23</v>
      </c>
      <c r="AU51" s="103" t="s">
        <v>23</v>
      </c>
      <c r="AV51" s="103" t="s">
        <v>18</v>
      </c>
      <c r="AW51" s="95">
        <f t="shared" si="13"/>
        <v>44</v>
      </c>
      <c r="AX51" s="149"/>
      <c r="AY51" s="149"/>
      <c r="AZ51" s="150"/>
    </row>
    <row r="52" spans="1:52" ht="26.25" customHeight="1" x14ac:dyDescent="0.25">
      <c r="A52" s="87">
        <v>43</v>
      </c>
      <c r="B52" s="94" t="s">
        <v>147</v>
      </c>
      <c r="C52" s="146">
        <v>1114309623</v>
      </c>
      <c r="D52" s="147"/>
      <c r="E52" s="148"/>
      <c r="F52" s="92" t="s">
        <v>29</v>
      </c>
      <c r="G52" s="92" t="s">
        <v>18</v>
      </c>
      <c r="H52" s="92" t="s">
        <v>26</v>
      </c>
      <c r="I52" s="92" t="s">
        <v>18</v>
      </c>
      <c r="J52" s="92" t="s">
        <v>18</v>
      </c>
      <c r="K52" s="92" t="s">
        <v>23</v>
      </c>
      <c r="L52" s="92" t="s">
        <v>23</v>
      </c>
      <c r="M52" s="110">
        <v>44</v>
      </c>
      <c r="N52" s="205" t="s">
        <v>26</v>
      </c>
      <c r="O52" s="205" t="s">
        <v>18</v>
      </c>
      <c r="P52" s="205" t="s">
        <v>23</v>
      </c>
      <c r="Q52" s="128">
        <f t="shared" si="22"/>
        <v>24</v>
      </c>
      <c r="R52" s="90" t="s">
        <v>26</v>
      </c>
      <c r="S52" s="90" t="s">
        <v>18</v>
      </c>
      <c r="T52" s="64" t="s">
        <v>26</v>
      </c>
      <c r="U52" s="90" t="s">
        <v>18</v>
      </c>
      <c r="V52" s="90" t="s">
        <v>29</v>
      </c>
      <c r="W52" s="90" t="s">
        <v>23</v>
      </c>
      <c r="X52" s="211" t="s">
        <v>18</v>
      </c>
      <c r="Y52" s="95">
        <f t="shared" si="23"/>
        <v>44</v>
      </c>
      <c r="Z52" s="90" t="s">
        <v>23</v>
      </c>
      <c r="AA52" s="90" t="s">
        <v>26</v>
      </c>
      <c r="AB52" s="90" t="s">
        <v>18</v>
      </c>
      <c r="AC52" s="90" t="s">
        <v>18</v>
      </c>
      <c r="AD52" s="90" t="s">
        <v>23</v>
      </c>
      <c r="AE52" s="90" t="s">
        <v>29</v>
      </c>
      <c r="AF52" s="90" t="s">
        <v>18</v>
      </c>
      <c r="AG52" s="95">
        <f t="shared" si="11"/>
        <v>44</v>
      </c>
      <c r="AH52" s="103" t="s">
        <v>18</v>
      </c>
      <c r="AI52" s="103" t="s">
        <v>29</v>
      </c>
      <c r="AJ52" s="103" t="s">
        <v>26</v>
      </c>
      <c r="AK52" s="103" t="s">
        <v>18</v>
      </c>
      <c r="AL52" s="103" t="s">
        <v>41</v>
      </c>
      <c r="AM52" s="103" t="s">
        <v>41</v>
      </c>
      <c r="AN52" s="103" t="s">
        <v>18</v>
      </c>
      <c r="AO52" s="95">
        <f t="shared" si="12"/>
        <v>20</v>
      </c>
      <c r="AP52" s="103" t="s">
        <v>18</v>
      </c>
      <c r="AQ52" s="103" t="s">
        <v>23</v>
      </c>
      <c r="AR52" s="103" t="s">
        <v>25</v>
      </c>
      <c r="AS52" s="103" t="s">
        <v>18</v>
      </c>
      <c r="AT52" s="103" t="s">
        <v>26</v>
      </c>
      <c r="AU52" s="103" t="s">
        <v>18</v>
      </c>
      <c r="AV52" s="103" t="s">
        <v>23</v>
      </c>
      <c r="AW52" s="95">
        <f t="shared" si="13"/>
        <v>44</v>
      </c>
      <c r="AX52" s="149"/>
      <c r="AY52" s="149"/>
      <c r="AZ52" s="150"/>
    </row>
    <row r="53" spans="1:52" ht="29.25" customHeight="1" x14ac:dyDescent="0.25">
      <c r="A53" s="87">
        <v>45</v>
      </c>
      <c r="B53" s="90" t="s">
        <v>161</v>
      </c>
      <c r="C53" s="151">
        <v>1114883045</v>
      </c>
      <c r="D53" s="119"/>
      <c r="E53" s="91"/>
      <c r="F53" s="92"/>
      <c r="G53" s="92"/>
      <c r="H53" s="92"/>
      <c r="I53" s="92"/>
      <c r="J53" s="92"/>
      <c r="K53" s="92"/>
      <c r="L53" s="92"/>
      <c r="M53" s="110"/>
      <c r="N53" s="204"/>
      <c r="O53" s="204"/>
      <c r="P53" s="204"/>
      <c r="Q53" s="128">
        <f t="shared" si="22"/>
        <v>0</v>
      </c>
      <c r="R53" s="90"/>
      <c r="S53" s="90"/>
      <c r="T53" s="90"/>
      <c r="U53" s="90"/>
      <c r="V53" s="90"/>
      <c r="W53" s="90"/>
      <c r="X53" s="211"/>
      <c r="Y53" s="95">
        <f t="shared" si="23"/>
        <v>0</v>
      </c>
      <c r="Z53" s="90"/>
      <c r="AA53" s="90"/>
      <c r="AB53" s="90"/>
      <c r="AC53" s="90"/>
      <c r="AD53" s="90"/>
      <c r="AE53" s="90"/>
      <c r="AF53" s="90"/>
      <c r="AG53" s="95">
        <f t="shared" si="11"/>
        <v>0</v>
      </c>
      <c r="AH53" s="90"/>
      <c r="AI53" s="90"/>
      <c r="AJ53" s="90"/>
      <c r="AK53" s="90" t="s">
        <v>54</v>
      </c>
      <c r="AL53" s="90" t="s">
        <v>54</v>
      </c>
      <c r="AM53" s="90" t="s">
        <v>53</v>
      </c>
      <c r="AN53" s="90" t="s">
        <v>18</v>
      </c>
      <c r="AO53" s="95">
        <f t="shared" si="12"/>
        <v>36</v>
      </c>
      <c r="AP53" s="211" t="s">
        <v>54</v>
      </c>
      <c r="AQ53" s="90" t="s">
        <v>55</v>
      </c>
      <c r="AR53" s="90" t="s">
        <v>18</v>
      </c>
      <c r="AS53" s="90" t="s">
        <v>18</v>
      </c>
      <c r="AT53" s="224" t="s">
        <v>54</v>
      </c>
      <c r="AU53" s="94" t="s">
        <v>18</v>
      </c>
      <c r="AV53" s="94" t="s">
        <v>53</v>
      </c>
      <c r="AW53" s="95">
        <f t="shared" si="13"/>
        <v>36</v>
      </c>
      <c r="AX53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53,"D")+COUNTIF(K53,"D1")+COUNTIF(K53,"N")+COUNTIF(K53,"N1")+COUNTIF(K53,"Din")+COUNTIF(K53,"D1in")+COUNTIF(K53,"Nin")+COUNTIF(K53,"N1in")+COUNTIF(K53,"DN")+COUNTIF(K53,"TN")+COUNTIF(K53,"NM")+COUNTIF(K53,"DA")+COUNTIF(K53,"DA")+COUNTIF(O53,"D")+COUNTIF(O53,"D1")+COUNTIF(O53,"N")+COUNTIF(O53,"N1")+COUNTIF(O53,"Din")+COUNTIF(O53,"D1in")+COUNTIF(O53,"Nin")+COUNTIF(O53,"N1in")+COUNTIF(O53,"DN")+COUNTIF(O53,"TN")+COUNTIF(O53,"NM")+COUNTIF(O53,"DA")+COUNTIF(O53,"DA")+COUNTIF(W53,"D")+COUNTIF(W53,"D1")+COUNTIF(W53,"N")+COUNTIF(W53,"N1")+COUNTIF(W53,"Din")+COUNTIF(W53,"D1in")+COUNTIF(W53,"Nin")+COUNTIF(W53,"N1in")+COUNTIF(W53,"DN")+COUNTIF(W53,"TN")+COUNTIF(W53,"NM")+COUNTIF(W53,"DA")+COUNTIF(W53,"DA")+COUNTIF(AU53,"D")+COUNTIF(AU53,"D1")+COUNTIF(AU53,"N")+COUNTIF(AU53,"N1")+COUNTIF(AU53,"Din")+COUNTIF(AU53,"D1in")+COUNTIF(AU53,"Nin")+COUNTIF(AU53,"N1in")+COUNTIF(AU53,"DN")+COUNTIF(AU53,"TN")+COUNTIF(AU53,"NM")+COUNTIF(AU53,"DA")+COUNTIF(AU53,"DA")</f>
        <v>#REF!</v>
      </c>
      <c r="AY53" s="75" t="e">
        <f>COUNTIF(D53,"D")+COUNTIF(D53,"D1")+COUNTIF(D53,"N")+COUNTIF(D53,"N1")+COUNTIF(D53,"Din")+COUNTIF(D53,"D1in")+COUNTIF(D53,"Nin")+COUNTIF(D53,"N1in")+COUNTIF(D53,"DN")+COUNTIF(D53,"TN")+COUNTIF(D53,"NM")+COUNTIF(D53,"DA")+COUNTIF(D53,"DA")+COUNTIF(L53,"D")+COUNTIF(L53,"D1")+COUNTIF(L53,"N")+COUNTIF(L53,"N1")+COUNTIF(L53,"Din")+COUNTIF(L53,"D1in")+COUNTIF(L53,"Nin")+COUNTIF(L53,"N1in")+COUNTIF(L53,"DN")+COUNTIF(L53,"TN")+COUNTIF(L53,"NM")+COUNTIF(L53,"DA")+COUNTIF(L53,"DA")+COUNTIF(P53,"D")+COUNTIF(P53,"D1")+COUNTIF(P53,"N")+COUNTIF(P53,"N1")+COUNTIF(P53,"Din")+COUNTIF(P53,"D1in")+COUNTIF(P53,"Nin")+COUNTIF(P53,"N1in")+COUNTIF(P53,"DN")+COUNTIF(P53,"TN")+COUNTIF(P53,"NM")+COUNTIF(P53,"DA")+COUNTIF(P53,"DA")+COUNTIF(X53,"D")+COUNTIF(X53,"D1")+COUNTIF(X53,"N")+COUNTIF(X53,"N1")+COUNTIF(X53,"Din")+COUNTIF(X53,"D1in")+COUNTIF(X53,"Nin")+COUNTIF(X53,"N1in")+COUNTIF(X53,"DN")+COUNTIF(X53,"TN")+COUNTIF(X53,"NM")+COUNTIF(X53,"DA")+COUNTIF(X53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53" s="58">
        <f>COUNTIF(D53:AU53,"N")+COUNTIF(D53:AU53,"N1")</f>
        <v>0</v>
      </c>
    </row>
    <row r="54" spans="1:52" ht="26.25" customHeight="1" x14ac:dyDescent="0.25">
      <c r="A54" s="87">
        <v>46</v>
      </c>
      <c r="B54" s="152" t="s">
        <v>148</v>
      </c>
      <c r="C54" s="92">
        <v>1033698306</v>
      </c>
      <c r="D54" s="140"/>
      <c r="E54" s="91"/>
      <c r="F54" s="153"/>
      <c r="G54" s="153"/>
      <c r="H54" s="153"/>
      <c r="I54" s="153"/>
      <c r="J54" s="153"/>
      <c r="K54" s="153"/>
      <c r="L54" s="153"/>
      <c r="M54" s="110">
        <v>0</v>
      </c>
      <c r="N54" s="205" t="s">
        <v>23</v>
      </c>
      <c r="O54" s="205" t="s">
        <v>26</v>
      </c>
      <c r="P54" s="205" t="s">
        <v>18</v>
      </c>
      <c r="Q54" s="128">
        <f t="shared" si="22"/>
        <v>24</v>
      </c>
      <c r="R54" s="90" t="s">
        <v>23</v>
      </c>
      <c r="S54" s="90" t="s">
        <v>29</v>
      </c>
      <c r="T54" s="90" t="s">
        <v>26</v>
      </c>
      <c r="U54" s="90" t="s">
        <v>18</v>
      </c>
      <c r="V54" s="90" t="s">
        <v>26</v>
      </c>
      <c r="W54" s="90" t="s">
        <v>18</v>
      </c>
      <c r="X54" s="211" t="s">
        <v>26</v>
      </c>
      <c r="Y54" s="95">
        <f t="shared" si="23"/>
        <v>56</v>
      </c>
      <c r="Z54" s="90" t="s">
        <v>26</v>
      </c>
      <c r="AA54" s="90" t="s">
        <v>18</v>
      </c>
      <c r="AB54" s="90" t="s">
        <v>23</v>
      </c>
      <c r="AC54" s="90" t="s">
        <v>26</v>
      </c>
      <c r="AD54" s="90" t="s">
        <v>18</v>
      </c>
      <c r="AE54" s="90" t="s">
        <v>25</v>
      </c>
      <c r="AF54" s="90" t="s">
        <v>18</v>
      </c>
      <c r="AG54" s="95">
        <f t="shared" si="11"/>
        <v>44</v>
      </c>
      <c r="AH54" s="90" t="s">
        <v>18</v>
      </c>
      <c r="AI54" s="90" t="s">
        <v>18</v>
      </c>
      <c r="AJ54" s="90" t="s">
        <v>29</v>
      </c>
      <c r="AK54" s="90" t="s">
        <v>26</v>
      </c>
      <c r="AL54" s="90" t="s">
        <v>18</v>
      </c>
      <c r="AM54" s="90" t="s">
        <v>26</v>
      </c>
      <c r="AN54" s="90" t="s">
        <v>18</v>
      </c>
      <c r="AO54" s="95">
        <f t="shared" si="12"/>
        <v>32</v>
      </c>
      <c r="AP54" s="90" t="s">
        <v>18</v>
      </c>
      <c r="AQ54" s="90" t="s">
        <v>29</v>
      </c>
      <c r="AR54" s="90" t="s">
        <v>23</v>
      </c>
      <c r="AS54" s="90" t="s">
        <v>26</v>
      </c>
      <c r="AT54" s="90" t="s">
        <v>18</v>
      </c>
      <c r="AU54" s="90" t="s">
        <v>26</v>
      </c>
      <c r="AV54" s="90" t="s">
        <v>18</v>
      </c>
      <c r="AW54" s="95">
        <f t="shared" si="13"/>
        <v>44</v>
      </c>
      <c r="AX54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54,"D")+COUNTIF(K54,"D1")+COUNTIF(K54,"N")+COUNTIF(K54,"N1")+COUNTIF(K54,"Din")+COUNTIF(K54,"D1in")+COUNTIF(K54,"Nin")+COUNTIF(K54,"N1in")+COUNTIF(K54,"DN")+COUNTIF(K54,"TN")+COUNTIF(K54,"NM")+COUNTIF(K54,"DA")+COUNTIF(K54,"DA")+COUNTIF(O54,"D")+COUNTIF(O54,"D1")+COUNTIF(O54,"N")+COUNTIF(O54,"N1")+COUNTIF(O54,"Din")+COUNTIF(O54,"D1in")+COUNTIF(O54,"Nin")+COUNTIF(O54,"N1in")+COUNTIF(O54,"DN")+COUNTIF(O54,"TN")+COUNTIF(O54,"NM")+COUNTIF(O54,"DA")+COUNTIF(O54,"DA")+COUNTIF(W54,"D")+COUNTIF(W54,"D1")+COUNTIF(W54,"N")+COUNTIF(W54,"N1")+COUNTIF(W54,"Din")+COUNTIF(W54,"D1in")+COUNTIF(W54,"Nin")+COUNTIF(W54,"N1in")+COUNTIF(W54,"DN")+COUNTIF(W54,"TN")+COUNTIF(W54,"NM")+COUNTIF(W54,"DA")+COUNTIF(W54,"DA")+COUNTIF(AU54,"D")+COUNTIF(AU54,"D1")+COUNTIF(AU54,"N")+COUNTIF(AU54,"N1")+COUNTIF(AU54,"Din")+COUNTIF(AU54,"D1in")+COUNTIF(AU54,"Nin")+COUNTIF(AU54,"N1in")+COUNTIF(AU54,"DN")+COUNTIF(AU54,"TN")+COUNTIF(AU54,"NM")+COUNTIF(AU54,"DA")+COUNTIF(AU54,"DA")</f>
        <v>#REF!</v>
      </c>
      <c r="AY54" s="75" t="e">
        <f>COUNTIF(D54,"D")+COUNTIF(D54,"D1")+COUNTIF(D54,"N")+COUNTIF(D54,"N1")+COUNTIF(D54,"Din")+COUNTIF(D54,"D1in")+COUNTIF(D54,"Nin")+COUNTIF(D54,"N1in")+COUNTIF(D54,"DN")+COUNTIF(D54,"TN")+COUNTIF(D54,"NM")+COUNTIF(D54,"DA")+COUNTIF(D54,"DA")+COUNTIF(L54,"D")+COUNTIF(L54,"D1")+COUNTIF(L54,"N")+COUNTIF(L54,"N1")+COUNTIF(L54,"Din")+COUNTIF(L54,"D1in")+COUNTIF(L54,"Nin")+COUNTIF(L54,"N1in")+COUNTIF(L54,"DN")+COUNTIF(L54,"TN")+COUNTIF(L54,"NM")+COUNTIF(L54,"DA")+COUNTIF(L54,"DA")+COUNTIF(P54,"D")+COUNTIF(P54,"D1")+COUNTIF(P54,"N")+COUNTIF(P54,"N1")+COUNTIF(P54,"Din")+COUNTIF(P54,"D1in")+COUNTIF(P54,"Nin")+COUNTIF(P54,"N1in")+COUNTIF(P54,"DN")+COUNTIF(P54,"TN")+COUNTIF(P54,"NM")+COUNTIF(P54,"DA")+COUNTIF(P54,"DA")+COUNTIF(X54,"D")+COUNTIF(X54,"D1")+COUNTIF(X54,"N")+COUNTIF(X54,"N1")+COUNTIF(X54,"Din")+COUNTIF(X54,"D1in")+COUNTIF(X54,"Nin")+COUNTIF(X54,"N1in")+COUNTIF(X54,"DN")+COUNTIF(X54,"TN")+COUNTIF(X54,"NM")+COUNTIF(X54,"DA")+COUNTIF(X54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54" s="58">
        <f>COUNTIF(D54:AU54,"N")+COUNTIF(D54:AU54,"N1")</f>
        <v>10</v>
      </c>
    </row>
    <row r="55" spans="1:52" ht="29.25" customHeight="1" x14ac:dyDescent="0.25">
      <c r="A55" s="87">
        <v>47</v>
      </c>
      <c r="B55" s="90" t="s">
        <v>149</v>
      </c>
      <c r="C55" s="122">
        <v>1113623475</v>
      </c>
      <c r="D55" s="140"/>
      <c r="E55" s="91"/>
      <c r="F55" s="92"/>
      <c r="G55" s="92"/>
      <c r="H55" s="92"/>
      <c r="I55" s="92"/>
      <c r="J55" s="92"/>
      <c r="K55" s="92"/>
      <c r="L55" s="92"/>
      <c r="M55" s="110">
        <v>0</v>
      </c>
      <c r="N55" s="205" t="s">
        <v>23</v>
      </c>
      <c r="O55" s="205" t="s">
        <v>25</v>
      </c>
      <c r="P55" s="205" t="s">
        <v>18</v>
      </c>
      <c r="Q55" s="128">
        <f t="shared" si="22"/>
        <v>20</v>
      </c>
      <c r="R55" s="94" t="s">
        <v>23</v>
      </c>
      <c r="S55" s="94" t="s">
        <v>26</v>
      </c>
      <c r="T55" s="94" t="s">
        <v>18</v>
      </c>
      <c r="U55" s="90" t="s">
        <v>27</v>
      </c>
      <c r="V55" s="90" t="s">
        <v>26</v>
      </c>
      <c r="W55" s="107" t="s">
        <v>18</v>
      </c>
      <c r="X55" s="90" t="s">
        <v>18</v>
      </c>
      <c r="Y55" s="95">
        <f t="shared" si="23"/>
        <v>44</v>
      </c>
      <c r="Z55" s="94" t="s">
        <v>25</v>
      </c>
      <c r="AA55" s="94" t="s">
        <v>18</v>
      </c>
      <c r="AB55" s="94" t="s">
        <v>23</v>
      </c>
      <c r="AC55" s="90" t="s">
        <v>26</v>
      </c>
      <c r="AD55" s="90" t="s">
        <v>18</v>
      </c>
      <c r="AE55" s="107" t="s">
        <v>23</v>
      </c>
      <c r="AF55" s="90" t="s">
        <v>18</v>
      </c>
      <c r="AG55" s="95">
        <f t="shared" si="11"/>
        <v>44</v>
      </c>
      <c r="AH55" s="90" t="s">
        <v>23</v>
      </c>
      <c r="AI55" s="90" t="s">
        <v>26</v>
      </c>
      <c r="AJ55" s="90" t="s">
        <v>18</v>
      </c>
      <c r="AK55" s="90" t="s">
        <v>27</v>
      </c>
      <c r="AL55" s="90" t="s">
        <v>18</v>
      </c>
      <c r="AM55" s="107" t="s">
        <v>23</v>
      </c>
      <c r="AN55" s="90" t="s">
        <v>18</v>
      </c>
      <c r="AO55" s="95">
        <f t="shared" si="12"/>
        <v>44</v>
      </c>
      <c r="AP55" s="94" t="s">
        <v>29</v>
      </c>
      <c r="AQ55" s="94" t="s">
        <v>26</v>
      </c>
      <c r="AR55" s="94" t="s">
        <v>18</v>
      </c>
      <c r="AS55" s="94" t="s">
        <v>26</v>
      </c>
      <c r="AT55" s="90" t="s">
        <v>18</v>
      </c>
      <c r="AU55" s="107" t="s">
        <v>26</v>
      </c>
      <c r="AV55" s="90" t="s">
        <v>18</v>
      </c>
      <c r="AW55" s="95">
        <f t="shared" si="13"/>
        <v>44</v>
      </c>
      <c r="AX55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55,"D")+COUNTIF(K55,"D1")+COUNTIF(K55,"N")+COUNTIF(K55,"N1")+COUNTIF(K55,"Din")+COUNTIF(K55,"D1in")+COUNTIF(K55,"Nin")+COUNTIF(K55,"N1in")+COUNTIF(K55,"DN")+COUNTIF(K55,"TN")+COUNTIF(K55,"NM")+COUNTIF(K55,"DA")+COUNTIF(K55,"DA")+COUNTIF(O55,"D")+COUNTIF(O55,"D1")+COUNTIF(O55,"N")+COUNTIF(O55,"N1")+COUNTIF(O55,"Din")+COUNTIF(O55,"D1in")+COUNTIF(O55,"Nin")+COUNTIF(O55,"N1in")+COUNTIF(O55,"DN")+COUNTIF(O55,"TN")+COUNTIF(O55,"NM")+COUNTIF(O55,"DA")+COUNTIF(O55,"DA")+COUNTIF(W55,"D")+COUNTIF(W55,"D1")+COUNTIF(W55,"N")+COUNTIF(W55,"N1")+COUNTIF(W55,"Din")+COUNTIF(W55,"D1in")+COUNTIF(W55,"Nin")+COUNTIF(W55,"N1in")+COUNTIF(W55,"DN")+COUNTIF(W55,"TN")+COUNTIF(W55,"NM")+COUNTIF(W55,"DA")+COUNTIF(W55,"DA")+COUNTIF(AU55,"D")+COUNTIF(AU55,"D1")+COUNTIF(AU55,"N")+COUNTIF(AU55,"N1")+COUNTIF(AU55,"Din")+COUNTIF(AU55,"D1in")+COUNTIF(AU55,"Nin")+COUNTIF(AU55,"N1in")+COUNTIF(AU55,"DN")+COUNTIF(AU55,"TN")+COUNTIF(AU55,"NM")+COUNTIF(AU55,"DA")+COUNTIF(AU55,"DA")</f>
        <v>#REF!</v>
      </c>
      <c r="AY55" s="75" t="e">
        <f>COUNTIF(D55,"D")+COUNTIF(D55,"D1")+COUNTIF(D55,"N")+COUNTIF(D55,"N1")+COUNTIF(D55,"Din")+COUNTIF(D55,"D1in")+COUNTIF(D55,"Nin")+COUNTIF(D55,"N1in")+COUNTIF(D55,"DN")+COUNTIF(D55,"TN")+COUNTIF(D55,"NM")+COUNTIF(D55,"DA")+COUNTIF(D55,"DA")+COUNTIF(L55,"D")+COUNTIF(L55,"D1")+COUNTIF(L55,"N")+COUNTIF(L55,"N1")+COUNTIF(L55,"Din")+COUNTIF(L55,"D1in")+COUNTIF(L55,"Nin")+COUNTIF(L55,"N1in")+COUNTIF(L55,"DN")+COUNTIF(L55,"TN")+COUNTIF(L55,"NM")+COUNTIF(L55,"DA")+COUNTIF(L55,"DA")+COUNTIF(P55,"D")+COUNTIF(P55,"D1")+COUNTIF(P55,"N")+COUNTIF(P55,"N1")+COUNTIF(P55,"Din")+COUNTIF(P55,"D1in")+COUNTIF(P55,"Nin")+COUNTIF(P55,"N1in")+COUNTIF(P55,"DN")+COUNTIF(P55,"TN")+COUNTIF(P55,"NM")+COUNTIF(P55,"DA")+COUNTIF(P55,"DA")+COUNTIF(X55,"D")+COUNTIF(X55,"D1")+COUNTIF(X55,"N")+COUNTIF(X55,"N1")+COUNTIF(X55,"Din")+COUNTIF(X55,"D1in")+COUNTIF(X55,"Nin")+COUNTIF(X55,"N1in")+COUNTIF(X55,"DN")+COUNTIF(X55,"TN")+COUNTIF(X55,"NM")+COUNTIF(X55,"DA")+COUNTIF(X55,"DA")+COUNTIF(#REF!,"D")+COUNTIF(#REF!,"D1")+COUNTIF(#REF!,"N")+COUNTIF(#REF!,"N1")+COUNTIF(#REF!,"Din")+COUNTIF(#REF!,"D1in")+COUNTIF(#REF!,"Nin")+COUNTIF(#REF!,"N1in")+COUNTIF(#REF!,"DN")+COUNTIF(#REF!,"TN")+COUNTIF(#REF!,"NM")+COUNTIF(#REF!,"DA")+COUNTIF(#REF!,"DA")</f>
        <v>#REF!</v>
      </c>
      <c r="AZ55" s="58">
        <f>COUNTIF(D55:AU55,"N")+COUNTIF(D55:AU55,"N1")</f>
        <v>7</v>
      </c>
    </row>
    <row r="56" spans="1:52" ht="28.5" hidden="1" customHeight="1" x14ac:dyDescent="0.25">
      <c r="A56" s="87">
        <v>48</v>
      </c>
      <c r="B56" s="90"/>
      <c r="C56" s="122"/>
      <c r="D56" s="119"/>
      <c r="E56" s="91"/>
      <c r="F56" s="92"/>
      <c r="G56" s="92"/>
      <c r="H56" s="92"/>
      <c r="I56" s="92"/>
      <c r="J56" s="92"/>
      <c r="K56" s="92"/>
      <c r="L56" s="92"/>
      <c r="M56" s="110">
        <v>0</v>
      </c>
      <c r="N56" s="204"/>
      <c r="O56" s="204"/>
      <c r="P56" s="204"/>
      <c r="Q56" s="128">
        <f t="shared" si="22"/>
        <v>0</v>
      </c>
      <c r="R56" s="90"/>
      <c r="S56" s="90"/>
      <c r="T56" s="90"/>
      <c r="U56" s="90"/>
      <c r="V56" s="90"/>
      <c r="W56" s="90"/>
      <c r="X56" s="90"/>
      <c r="Y56" s="95">
        <f t="shared" si="23"/>
        <v>0</v>
      </c>
      <c r="Z56" s="90"/>
      <c r="AA56" s="90"/>
      <c r="AB56" s="90"/>
      <c r="AC56" s="90"/>
      <c r="AD56" s="90"/>
      <c r="AE56" s="90"/>
      <c r="AF56" s="90"/>
      <c r="AG56" s="95">
        <f t="shared" si="11"/>
        <v>0</v>
      </c>
      <c r="AH56" s="90"/>
      <c r="AI56" s="90"/>
      <c r="AJ56" s="90"/>
      <c r="AK56" s="90"/>
      <c r="AL56" s="90"/>
      <c r="AM56" s="90"/>
      <c r="AN56" s="90"/>
      <c r="AO56" s="95">
        <f t="shared" si="12"/>
        <v>0</v>
      </c>
      <c r="AP56" s="90"/>
      <c r="AQ56" s="90"/>
      <c r="AR56" s="90"/>
      <c r="AS56" s="90"/>
      <c r="AT56" s="90"/>
      <c r="AU56" s="90"/>
      <c r="AV56" s="90"/>
      <c r="AW56" s="95">
        <f t="shared" si="13"/>
        <v>0</v>
      </c>
      <c r="AX56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56,"D")+COUNTIF(K56,"D1")+COUNTIF(K56,"N")+COUNTIF(K56,"N1")+COUNTIF(K56,"Din")+COUNTIF(K56,"D1in")+COUNTIF(K56,"Nin")+COUNTIF(K56,"N1in")+COUNTIF(K56,"DN")+COUNTIF(K56,"TN")+COUNTIF(K56,"NM")+COUNTIF(K56,"DA")+COUNTIF(K56,"DA")+COUNTIF(O56,"D")+COUNTIF(O56,"D1")+COUNTIF(O56,"N")+COUNTIF(O56,"N1")+COUNTIF(O56,"Din")+COUNTIF(O56,"D1in")+COUNTIF(O56,"Nin")+COUNTIF(O56,"N1in")+COUNTIF(O56,"DN")+COUNTIF(O56,"TN")+COUNTIF(O56,"NM")+COUNTIF(O56,"DA")+COUNTIF(O56,"DA")+COUNTIF(W56,"D")+COUNTIF(W56,"D1")+COUNTIF(W56,"N")+COUNTIF(W56,"N1")+COUNTIF(W56,"Din")+COUNTIF(W56,"D1in")+COUNTIF(W56,"Nin")+COUNTIF(W56,"N1in")+COUNTIF(W56,"DN")+COUNTIF(W56,"TN")+COUNTIF(W56,"NM")+COUNTIF(W56,"DA")+COUNTIF(W56,"DA")+COUNTIF(AU56,"D")+COUNTIF(AU56,"D1")+COUNTIF(AU56,"N")+COUNTIF(AU56,"N1")+COUNTIF(AU56,"Din")+COUNTIF(AU56,"D1in")+COUNTIF(AU56,"Nin")+COUNTIF(AU56,"N1in")+COUNTIF(AU56,"DN")+COUNTIF(AU56,"TN")+COUNTIF(AU56,"NM")+COUNTIF(AU56,"DA")+COUNTIF(AU56,"DA")</f>
        <v>#REF!</v>
      </c>
      <c r="AY56" s="75"/>
      <c r="AZ56" s="58">
        <f>COUNTIF(D56:AU56,"N")+COUNTIF(D56:AU56,"N1")</f>
        <v>0</v>
      </c>
    </row>
    <row r="57" spans="1:52" ht="24.75" customHeight="1" x14ac:dyDescent="0.25">
      <c r="A57" s="87">
        <v>49</v>
      </c>
      <c r="B57" s="154" t="s">
        <v>150</v>
      </c>
      <c r="C57" s="155">
        <v>1113650271</v>
      </c>
      <c r="D57" s="90" t="s">
        <v>46</v>
      </c>
      <c r="E57" s="91">
        <f>COUNTIF(D57,"D")*12+COUNTIF(D57,"D1")*11+COUNTIF(D57,"N")*12+COUNTIF(D57,"N1")*11+COUNTIF(D57,"Din")*12+COUNTIF(D57,"D1in")*11+COUNTIF(D57,"Nin")*12+COUNTIF(D57,"N1in")*11+COUNTIF(D57,"DN")*24+COUNTIF(D57,"TN")*18+COUNTIF(D57,"NM")*18+COUNTIF(D57,"DA")*8+COUNTIF(D57,"D2")*11+COUNTIF(D57,"DE")*12</f>
        <v>0</v>
      </c>
      <c r="F57" s="92" t="s">
        <v>75</v>
      </c>
      <c r="G57" s="92" t="s">
        <v>75</v>
      </c>
      <c r="H57" s="92" t="s">
        <v>75</v>
      </c>
      <c r="I57" s="92" t="s">
        <v>75</v>
      </c>
      <c r="J57" s="92" t="s">
        <v>75</v>
      </c>
      <c r="K57" s="153"/>
      <c r="L57" s="153"/>
      <c r="M57" s="197"/>
      <c r="N57" s="205" t="s">
        <v>18</v>
      </c>
      <c r="O57" s="205" t="s">
        <v>18</v>
      </c>
      <c r="P57" s="205" t="s">
        <v>18</v>
      </c>
      <c r="Q57" s="128"/>
      <c r="R57" s="90" t="s">
        <v>75</v>
      </c>
      <c r="S57" s="90" t="s">
        <v>75</v>
      </c>
      <c r="T57" s="90" t="s">
        <v>75</v>
      </c>
      <c r="U57" s="90" t="s">
        <v>18</v>
      </c>
      <c r="V57" s="209" t="s">
        <v>21</v>
      </c>
      <c r="W57" s="209" t="s">
        <v>21</v>
      </c>
      <c r="X57" s="209" t="s">
        <v>21</v>
      </c>
      <c r="Y57" s="95">
        <f t="shared" si="23"/>
        <v>0</v>
      </c>
      <c r="Z57" s="209" t="s">
        <v>21</v>
      </c>
      <c r="AA57" s="209" t="s">
        <v>21</v>
      </c>
      <c r="AB57" s="209" t="s">
        <v>21</v>
      </c>
      <c r="AC57" s="209" t="s">
        <v>21</v>
      </c>
      <c r="AD57" s="209" t="s">
        <v>21</v>
      </c>
      <c r="AE57" s="209" t="s">
        <v>21</v>
      </c>
      <c r="AF57" s="209" t="s">
        <v>21</v>
      </c>
      <c r="AG57" s="95"/>
      <c r="AH57" s="209" t="s">
        <v>21</v>
      </c>
      <c r="AI57" s="209" t="s">
        <v>21</v>
      </c>
      <c r="AJ57" s="209" t="s">
        <v>21</v>
      </c>
      <c r="AK57" s="209" t="s">
        <v>21</v>
      </c>
      <c r="AL57" s="209" t="s">
        <v>21</v>
      </c>
      <c r="AM57" s="209" t="s">
        <v>21</v>
      </c>
      <c r="AN57" s="209" t="s">
        <v>21</v>
      </c>
      <c r="AO57" s="95"/>
      <c r="AP57" s="209" t="s">
        <v>21</v>
      </c>
      <c r="AQ57" s="209" t="s">
        <v>21</v>
      </c>
      <c r="AR57" s="209" t="s">
        <v>21</v>
      </c>
      <c r="AS57" s="209" t="s">
        <v>21</v>
      </c>
      <c r="AT57" s="90" t="s">
        <v>46</v>
      </c>
      <c r="AU57" s="90" t="s">
        <v>46</v>
      </c>
      <c r="AV57" s="90" t="s">
        <v>46</v>
      </c>
      <c r="AW57" s="95"/>
      <c r="AX57" s="75" t="e">
        <f>COUNTIF(#REF!,"D")+COUNTIF(#REF!,"D1")+COUNTIF(#REF!,"N")+COUNTIF(#REF!,"N1")+COUNTIF(#REF!,"Din")+COUNTIF(#REF!,"D1in")+COUNTIF(#REF!,"Nin")+COUNTIF(#REF!,"N1in")+COUNTIF(#REF!,"DN")+COUNTIF(#REF!,"TN")+COUNTIF(#REF!,"NM")+COUNTIF(#REF!,"DA")+COUNTIF(#REF!,"DA")+COUNTIF(K57,"D")+COUNTIF(K57,"D1")+COUNTIF(K57,"N")+COUNTIF(K57,"N1")+COUNTIF(K57,"Din")+COUNTIF(K57,"D1in")+COUNTIF(K57,"Nin")+COUNTIF(K57,"N1in")+COUNTIF(K57,"DN")+COUNTIF(K57,"TN")+COUNTIF(K57,"NM")+COUNTIF(K57,"DA")+COUNTIF(K57,"DA")+COUNTIF(O57,"D")+COUNTIF(O57,"D1")+COUNTIF(O57,"N")+COUNTIF(O57,"N1")+COUNTIF(O57,"Din")+COUNTIF(O57,"D1in")+COUNTIF(O57,"Nin")+COUNTIF(O57,"N1in")+COUNTIF(O57,"DN")+COUNTIF(O57,"TN")+COUNTIF(O57,"NM")+COUNTIF(O57,"DA")+COUNTIF(O57,"DA")+COUNTIF(W57,"D")+COUNTIF(W57,"D1")+COUNTIF(W57,"N")+COUNTIF(W57,"N1")+COUNTIF(W57,"Din")+COUNTIF(W57,"D1in")+COUNTIF(W57,"Nin")+COUNTIF(W57,"N1in")+COUNTIF(W57,"DN")+COUNTIF(W57,"TN")+COUNTIF(W57,"NM")+COUNTIF(W57,"DA")+COUNTIF(W57,"DA")+COUNTIF(AU57,"D")+COUNTIF(AU57,"D1")+COUNTIF(AU57,"N")+COUNTIF(AU57,"N1")+COUNTIF(AU57,"Din")+COUNTIF(AU57,"D1in")+COUNTIF(AU57,"Nin")+COUNTIF(AU57,"N1in")+COUNTIF(AU57,"DN")+COUNTIF(AU57,"TN")+COUNTIF(AU57,"NM")+COUNTIF(AU57,"DA")+COUNTIF(AU57,"DA")</f>
        <v>#REF!</v>
      </c>
      <c r="AY57" s="75">
        <v>3</v>
      </c>
      <c r="AZ57" s="58">
        <f>COUNTIF(D57:AU57,"N")+COUNTIF(D57:AU57,"N1")</f>
        <v>0</v>
      </c>
    </row>
    <row r="58" spans="1:52" ht="20.25" customHeight="1" x14ac:dyDescent="0.25">
      <c r="A58" s="156"/>
      <c r="B58" s="157"/>
      <c r="C58" s="157"/>
      <c r="D58" s="45"/>
      <c r="E58" s="45"/>
      <c r="F58" s="158"/>
      <c r="G58" s="158"/>
      <c r="H58" s="158"/>
      <c r="I58" s="158"/>
      <c r="J58" s="158"/>
      <c r="K58" s="158"/>
      <c r="L58" s="61"/>
      <c r="M58" s="62"/>
      <c r="N58" s="61"/>
      <c r="O58" s="61"/>
      <c r="P58" s="61"/>
      <c r="Q58" s="62"/>
      <c r="R58" s="159"/>
      <c r="S58" s="159"/>
      <c r="T58" s="159"/>
      <c r="U58" s="159"/>
      <c r="V58" s="159"/>
      <c r="W58" s="159"/>
      <c r="X58" s="159"/>
      <c r="Y58" s="160"/>
      <c r="Z58" s="159"/>
      <c r="AA58" s="159"/>
      <c r="AB58" s="61"/>
      <c r="AC58" s="61"/>
      <c r="AD58" s="61"/>
      <c r="AE58" s="61"/>
      <c r="AF58" s="61"/>
      <c r="AG58" s="62"/>
      <c r="AH58" s="61"/>
      <c r="AI58" s="61"/>
      <c r="AJ58" s="61"/>
      <c r="AK58" s="61"/>
      <c r="AL58" s="61"/>
      <c r="AM58" s="61"/>
      <c r="AN58" s="61"/>
      <c r="AO58" s="62"/>
      <c r="AP58" s="61"/>
      <c r="AQ58" s="61"/>
      <c r="AR58" s="61"/>
      <c r="AS58" s="61"/>
      <c r="AT58" s="61"/>
      <c r="AU58" s="61"/>
      <c r="AV58" s="61"/>
      <c r="AW58" s="62"/>
      <c r="AX58" s="45"/>
      <c r="AY58" s="45"/>
      <c r="AZ58" s="49"/>
    </row>
    <row r="59" spans="1:52" ht="20.25" customHeight="1" x14ac:dyDescent="0.25">
      <c r="A59" s="156"/>
      <c r="B59" s="157"/>
      <c r="C59" s="157"/>
      <c r="D59" s="45"/>
      <c r="E59" s="45"/>
      <c r="F59" s="158"/>
      <c r="G59" s="158"/>
      <c r="H59" s="158"/>
      <c r="I59" s="158"/>
      <c r="J59" s="158"/>
      <c r="K59" s="158"/>
      <c r="L59" s="61"/>
      <c r="M59" s="62"/>
      <c r="N59" s="276"/>
      <c r="O59" s="276"/>
      <c r="P59" s="276"/>
      <c r="Q59" s="276"/>
      <c r="R59" s="276"/>
      <c r="S59" s="276"/>
      <c r="T59" s="276"/>
      <c r="U59" s="276"/>
      <c r="V59" s="276"/>
      <c r="W59" s="277"/>
      <c r="X59" s="61"/>
      <c r="Y59" s="62"/>
      <c r="Z59" s="61"/>
      <c r="AA59" s="61"/>
      <c r="AB59" s="61"/>
      <c r="AC59" s="61"/>
      <c r="AD59" s="61"/>
      <c r="AE59" s="61"/>
      <c r="AF59" s="61"/>
      <c r="AG59" s="62"/>
      <c r="AH59" s="61"/>
      <c r="AI59" s="61"/>
      <c r="AJ59" s="61"/>
      <c r="AK59" s="61"/>
      <c r="AL59" s="61"/>
      <c r="AM59" s="61"/>
      <c r="AN59" s="61"/>
      <c r="AO59" s="62"/>
      <c r="AP59" s="61"/>
      <c r="AQ59" s="61"/>
      <c r="AR59" s="61"/>
      <c r="AS59" s="61"/>
      <c r="AT59" s="61"/>
      <c r="AU59" s="61"/>
      <c r="AV59" s="61"/>
      <c r="AW59" s="62"/>
      <c r="AX59" s="45"/>
      <c r="AY59" s="45"/>
      <c r="AZ59" s="49"/>
    </row>
    <row r="60" spans="1:52" ht="12.75" customHeight="1" thickBot="1" x14ac:dyDescent="0.3">
      <c r="A60" s="156"/>
      <c r="B60" s="157"/>
      <c r="C60" s="157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229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49"/>
      <c r="AR60" s="49"/>
      <c r="AS60" s="49"/>
      <c r="AT60" s="49"/>
      <c r="AU60" s="49"/>
      <c r="AV60" s="49"/>
      <c r="AW60" s="49"/>
      <c r="AX60" s="45"/>
      <c r="AY60" s="45"/>
      <c r="AZ60" s="49"/>
    </row>
    <row r="61" spans="1:52" ht="12.75" customHeight="1" x14ac:dyDescent="0.25">
      <c r="A61" s="327" t="s">
        <v>62</v>
      </c>
      <c r="B61" s="328"/>
      <c r="C61" s="329"/>
      <c r="D61" s="45"/>
      <c r="E61" s="45"/>
      <c r="F61" s="45"/>
      <c r="G61" s="45"/>
      <c r="H61" s="45"/>
      <c r="I61" s="45"/>
      <c r="J61" s="45"/>
      <c r="K61" s="45"/>
      <c r="L61" s="45"/>
      <c r="M61" s="45"/>
      <c r="O61" s="50"/>
      <c r="P61" s="50"/>
      <c r="Q61" s="50"/>
      <c r="R61" s="50"/>
      <c r="S61" s="50"/>
      <c r="T61" s="50"/>
      <c r="U61" s="50"/>
      <c r="V61" s="50"/>
      <c r="W61" s="56"/>
      <c r="X61" s="56"/>
      <c r="Y61" s="50"/>
      <c r="Z61" s="50"/>
      <c r="AA61" s="50"/>
      <c r="AB61" s="50"/>
      <c r="AC61" s="50"/>
      <c r="AD61" s="50"/>
      <c r="AE61" s="56"/>
      <c r="AF61" s="56"/>
      <c r="AG61" s="50"/>
      <c r="AH61" s="50"/>
      <c r="AI61" s="50"/>
      <c r="AJ61" s="50"/>
      <c r="AK61" s="50"/>
      <c r="AL61" s="50"/>
      <c r="AM61" s="56"/>
      <c r="AN61" s="56"/>
      <c r="AO61" s="50"/>
      <c r="AP61" s="56"/>
      <c r="AQ61" s="49"/>
      <c r="AR61" s="49"/>
      <c r="AS61" s="49"/>
      <c r="AT61" s="49"/>
      <c r="AU61" s="49"/>
      <c r="AV61" s="49"/>
      <c r="AW61" s="49"/>
      <c r="AX61" s="45"/>
      <c r="AY61" s="45"/>
      <c r="AZ61" s="49"/>
    </row>
    <row r="62" spans="1:52" ht="12.75" customHeight="1" x14ac:dyDescent="0.25">
      <c r="A62" s="377" t="s">
        <v>166</v>
      </c>
      <c r="B62" s="189" t="s">
        <v>167</v>
      </c>
      <c r="C62" s="190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50" t="s">
        <v>165</v>
      </c>
      <c r="O62" s="378"/>
      <c r="P62" s="378"/>
      <c r="Q62" s="378"/>
      <c r="R62" s="378"/>
      <c r="S62" s="378"/>
      <c r="T62" s="378"/>
      <c r="U62" s="378"/>
      <c r="V62" s="378"/>
      <c r="W62" s="379"/>
      <c r="X62" s="379"/>
      <c r="Y62" s="378"/>
      <c r="Z62" s="378"/>
      <c r="AA62" s="378"/>
      <c r="AB62" s="378"/>
      <c r="AC62" s="378"/>
      <c r="AD62" s="378"/>
      <c r="AE62" s="379"/>
      <c r="AF62" s="379"/>
      <c r="AG62" s="378"/>
      <c r="AH62" s="378"/>
      <c r="AI62" s="378"/>
      <c r="AJ62" s="378"/>
      <c r="AK62" s="378"/>
      <c r="AL62" s="378"/>
      <c r="AM62" s="379"/>
      <c r="AN62" s="379"/>
      <c r="AO62" s="378"/>
      <c r="AP62" s="379"/>
      <c r="AQ62" s="49"/>
      <c r="AR62" s="49"/>
      <c r="AS62" s="49"/>
      <c r="AT62" s="49"/>
      <c r="AU62" s="49"/>
      <c r="AV62" s="49"/>
      <c r="AW62" s="49"/>
      <c r="AX62" s="45"/>
      <c r="AY62" s="45"/>
      <c r="AZ62" s="49"/>
    </row>
    <row r="63" spans="1:52" ht="15.75" customHeight="1" x14ac:dyDescent="0.25">
      <c r="A63" s="2"/>
      <c r="B63" s="325" t="s">
        <v>63</v>
      </c>
      <c r="C63" s="320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50">
        <v>0</v>
      </c>
      <c r="O63" s="50"/>
      <c r="P63" s="51"/>
      <c r="Q63" s="50"/>
      <c r="R63" s="51"/>
      <c r="S63" s="50"/>
      <c r="T63" s="50"/>
      <c r="U63" s="50"/>
      <c r="V63" s="50"/>
      <c r="W63" s="56"/>
      <c r="X63" s="56"/>
      <c r="Y63" s="50"/>
      <c r="Z63" s="50"/>
      <c r="AA63" s="50"/>
      <c r="AB63" s="50"/>
      <c r="AC63" s="50"/>
      <c r="AD63" s="50"/>
      <c r="AE63" s="56"/>
      <c r="AF63" s="56"/>
      <c r="AG63" s="50"/>
      <c r="AH63" s="50"/>
      <c r="AI63" s="50"/>
      <c r="AJ63" s="50"/>
      <c r="AK63" s="50"/>
      <c r="AL63" s="50"/>
      <c r="AM63" s="56"/>
      <c r="AN63" s="56"/>
      <c r="AO63" s="50"/>
      <c r="AP63" s="56"/>
      <c r="AQ63" s="49"/>
      <c r="AR63" s="49"/>
      <c r="AS63" s="49"/>
      <c r="AT63" s="49"/>
      <c r="AU63" s="49"/>
      <c r="AV63" s="49"/>
      <c r="AW63" s="49"/>
      <c r="AX63" s="45"/>
      <c r="AY63" s="45"/>
      <c r="AZ63" s="49"/>
    </row>
    <row r="64" spans="1:52" ht="12.75" customHeight="1" x14ac:dyDescent="0.25">
      <c r="A64" s="53" t="s">
        <v>23</v>
      </c>
      <c r="B64" s="326" t="s">
        <v>64</v>
      </c>
      <c r="C64" s="320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50">
        <v>12</v>
      </c>
      <c r="O64" s="50"/>
      <c r="P64" s="50"/>
      <c r="Q64" s="50"/>
      <c r="R64" s="50"/>
      <c r="S64" s="50"/>
      <c r="T64" s="50"/>
      <c r="U64" s="50"/>
      <c r="V64" s="50"/>
      <c r="W64" s="56"/>
      <c r="X64" s="56"/>
      <c r="Y64" s="50"/>
      <c r="Z64" s="50"/>
      <c r="AA64" s="50"/>
      <c r="AB64" s="50"/>
      <c r="AC64" s="50"/>
      <c r="AD64" s="50"/>
      <c r="AE64" s="56"/>
      <c r="AF64" s="56"/>
      <c r="AG64" s="50"/>
      <c r="AH64" s="50"/>
      <c r="AI64" s="50"/>
      <c r="AJ64" s="50"/>
      <c r="AK64" s="50"/>
      <c r="AL64" s="50"/>
      <c r="AM64" s="56"/>
      <c r="AN64" s="56"/>
      <c r="AO64" s="50"/>
      <c r="AP64" s="56"/>
      <c r="AQ64" s="49"/>
      <c r="AR64" s="49"/>
      <c r="AS64" s="49"/>
      <c r="AT64" s="49"/>
      <c r="AU64" s="49"/>
      <c r="AV64" s="49"/>
      <c r="AW64" s="49"/>
      <c r="AX64" s="45"/>
      <c r="AY64" s="45"/>
      <c r="AZ64" s="49"/>
    </row>
    <row r="65" spans="1:52" ht="12.75" customHeight="1" x14ac:dyDescent="0.25">
      <c r="A65" s="53" t="s">
        <v>26</v>
      </c>
      <c r="B65" s="326" t="s">
        <v>65</v>
      </c>
      <c r="C65" s="320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>
        <v>12</v>
      </c>
      <c r="O65" s="45"/>
      <c r="P65" s="45"/>
      <c r="Q65" s="45"/>
      <c r="R65" s="45"/>
      <c r="S65" s="45"/>
      <c r="T65" s="45"/>
      <c r="U65" s="45"/>
      <c r="V65" s="45"/>
      <c r="W65" s="49"/>
      <c r="X65" s="49"/>
      <c r="Y65" s="45"/>
      <c r="Z65" s="45"/>
      <c r="AA65" s="45"/>
      <c r="AB65" s="45"/>
      <c r="AC65" s="45"/>
      <c r="AD65" s="45"/>
      <c r="AE65" s="49"/>
      <c r="AF65" s="49"/>
      <c r="AG65" s="45"/>
      <c r="AH65" s="45"/>
      <c r="AI65" s="45"/>
      <c r="AJ65" s="45"/>
      <c r="AK65" s="45"/>
      <c r="AL65" s="45"/>
      <c r="AM65" s="49"/>
      <c r="AN65" s="49"/>
      <c r="AO65" s="45"/>
      <c r="AP65" s="49"/>
      <c r="AQ65" s="49"/>
      <c r="AR65" s="49"/>
      <c r="AS65" s="49"/>
      <c r="AT65" s="49"/>
      <c r="AU65" s="49"/>
      <c r="AV65" s="49"/>
      <c r="AW65" s="49"/>
      <c r="AX65" s="45"/>
      <c r="AY65" s="45"/>
      <c r="AZ65" s="49"/>
    </row>
    <row r="66" spans="1:52" ht="14.25" customHeight="1" x14ac:dyDescent="0.25">
      <c r="A66" s="53" t="s">
        <v>69</v>
      </c>
      <c r="B66" s="319" t="s">
        <v>70</v>
      </c>
      <c r="C66" s="320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>
        <v>11</v>
      </c>
      <c r="O66" s="45"/>
      <c r="P66" s="45"/>
      <c r="Q66" s="45"/>
      <c r="R66" s="45"/>
      <c r="S66" s="45"/>
      <c r="T66" s="45"/>
      <c r="U66" s="45"/>
      <c r="V66" s="45"/>
      <c r="W66" s="49"/>
      <c r="X66" s="49"/>
      <c r="Y66" s="45"/>
      <c r="Z66" s="45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9"/>
      <c r="AN66" s="49"/>
      <c r="AO66" s="45"/>
      <c r="AP66" s="49"/>
      <c r="AQ66" s="49"/>
      <c r="AR66" s="49"/>
      <c r="AS66" s="49"/>
      <c r="AT66" s="49"/>
      <c r="AU66" s="49"/>
      <c r="AV66" s="49"/>
      <c r="AW66" s="49"/>
      <c r="AX66" s="45"/>
      <c r="AY66" s="45"/>
      <c r="AZ66" s="49"/>
    </row>
    <row r="67" spans="1:52" ht="30" customHeight="1" x14ac:dyDescent="0.25">
      <c r="A67" s="53" t="s">
        <v>103</v>
      </c>
      <c r="B67" s="323" t="s">
        <v>151</v>
      </c>
      <c r="C67" s="320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>
        <v>12</v>
      </c>
      <c r="O67" s="45"/>
      <c r="P67" s="45"/>
      <c r="Q67" s="45"/>
      <c r="R67" s="45"/>
      <c r="S67" s="45"/>
      <c r="T67" s="45"/>
      <c r="U67" s="45"/>
      <c r="V67" s="45"/>
      <c r="W67" s="49"/>
      <c r="X67" s="56"/>
      <c r="Y67" s="59"/>
      <c r="Z67" s="45"/>
      <c r="AA67" s="45"/>
      <c r="AB67" s="45"/>
      <c r="AC67" s="45"/>
      <c r="AD67" s="45"/>
      <c r="AE67" s="49"/>
      <c r="AF67" s="49"/>
      <c r="AG67" s="45"/>
      <c r="AH67" s="45"/>
      <c r="AI67" s="45"/>
      <c r="AJ67" s="45"/>
      <c r="AK67" s="45"/>
      <c r="AL67" s="45"/>
      <c r="AM67" s="49"/>
      <c r="AN67" s="49"/>
      <c r="AO67" s="45"/>
      <c r="AP67" s="49"/>
      <c r="AQ67" s="49"/>
      <c r="AR67" s="49"/>
      <c r="AS67" s="49"/>
      <c r="AT67" s="49"/>
      <c r="AU67" s="49"/>
      <c r="AV67" s="49"/>
      <c r="AW67" s="49"/>
      <c r="AX67" s="45"/>
      <c r="AY67" s="45"/>
      <c r="AZ67" s="49"/>
    </row>
    <row r="68" spans="1:52" ht="38.25" customHeight="1" x14ac:dyDescent="0.25">
      <c r="A68" s="53" t="s">
        <v>152</v>
      </c>
      <c r="B68" s="325" t="s">
        <v>153</v>
      </c>
      <c r="C68" s="320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>
        <v>8</v>
      </c>
      <c r="O68" s="45"/>
      <c r="P68" s="45"/>
      <c r="Q68" s="45"/>
      <c r="R68" s="45"/>
      <c r="S68" s="45"/>
      <c r="T68" s="45"/>
      <c r="U68" s="45"/>
      <c r="V68" s="45"/>
      <c r="W68" s="49"/>
      <c r="X68" s="49"/>
      <c r="Y68" s="45"/>
      <c r="Z68" s="45"/>
      <c r="AA68" s="45"/>
      <c r="AB68" s="45"/>
      <c r="AC68" s="45"/>
      <c r="AD68" s="45"/>
      <c r="AE68" s="49"/>
      <c r="AF68" s="49"/>
      <c r="AG68" s="45"/>
      <c r="AH68" s="45"/>
      <c r="AI68" s="45"/>
      <c r="AJ68" s="45"/>
      <c r="AK68" s="45"/>
      <c r="AL68" s="45"/>
      <c r="AM68" s="49"/>
      <c r="AN68" s="49"/>
      <c r="AO68" s="45"/>
      <c r="AP68" s="49"/>
      <c r="AQ68" s="49"/>
      <c r="AR68" s="49"/>
      <c r="AS68" s="49"/>
      <c r="AT68" s="49"/>
      <c r="AU68" s="49"/>
      <c r="AV68" s="49"/>
      <c r="AW68" s="49"/>
      <c r="AX68" s="45"/>
      <c r="AY68" s="45"/>
      <c r="AZ68" s="49"/>
    </row>
    <row r="69" spans="1:52" ht="12.75" customHeight="1" x14ac:dyDescent="0.25">
      <c r="A69" s="53" t="s">
        <v>54</v>
      </c>
      <c r="B69" s="326" t="s">
        <v>154</v>
      </c>
      <c r="C69" s="320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>
        <v>12</v>
      </c>
      <c r="O69" s="45"/>
      <c r="P69" s="45"/>
      <c r="Q69" s="45"/>
      <c r="R69" s="45"/>
      <c r="S69" s="45"/>
      <c r="T69" s="45"/>
      <c r="U69" s="45"/>
      <c r="V69" s="45"/>
      <c r="W69" s="49"/>
      <c r="X69" s="49"/>
      <c r="Y69" s="45"/>
      <c r="Z69" s="45"/>
      <c r="AA69" s="45"/>
      <c r="AB69" s="45"/>
      <c r="AC69" s="45"/>
      <c r="AD69" s="45"/>
      <c r="AE69" s="49"/>
      <c r="AF69" s="49"/>
      <c r="AG69" s="45"/>
      <c r="AH69" s="45"/>
      <c r="AI69" s="45"/>
      <c r="AJ69" s="45"/>
      <c r="AK69" s="45"/>
      <c r="AL69" s="45"/>
      <c r="AM69" s="49"/>
      <c r="AN69" s="49"/>
      <c r="AO69" s="45"/>
      <c r="AP69" s="49"/>
      <c r="AQ69" s="49"/>
      <c r="AR69" s="49"/>
      <c r="AS69" s="49"/>
      <c r="AT69" s="49"/>
      <c r="AU69" s="49"/>
      <c r="AV69" s="49"/>
      <c r="AW69" s="49"/>
      <c r="AX69" s="45"/>
      <c r="AY69" s="45"/>
      <c r="AZ69" s="49"/>
    </row>
    <row r="70" spans="1:52" ht="14.25" customHeight="1" x14ac:dyDescent="0.25">
      <c r="A70" s="53" t="s">
        <v>155</v>
      </c>
      <c r="B70" s="319" t="s">
        <v>162</v>
      </c>
      <c r="C70" s="320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>
        <v>24</v>
      </c>
      <c r="O70" s="45"/>
      <c r="P70" s="45"/>
      <c r="Q70" s="45"/>
      <c r="R70" s="45"/>
      <c r="S70" s="45"/>
      <c r="T70" s="45"/>
      <c r="U70" s="45"/>
      <c r="V70" s="45"/>
      <c r="W70" s="49"/>
      <c r="X70" s="49"/>
      <c r="Y70" s="45"/>
      <c r="Z70" s="45"/>
      <c r="AA70" s="45"/>
      <c r="AB70" s="45"/>
      <c r="AC70" s="45"/>
      <c r="AD70" s="45"/>
      <c r="AE70" s="49"/>
      <c r="AF70" s="49"/>
      <c r="AG70" s="45"/>
      <c r="AH70" s="45"/>
      <c r="AI70" s="45"/>
      <c r="AJ70" s="45"/>
      <c r="AK70" s="45"/>
      <c r="AL70" s="45"/>
      <c r="AM70" s="49"/>
      <c r="AN70" s="49"/>
      <c r="AO70" s="45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</row>
    <row r="71" spans="1:52" ht="24" customHeight="1" x14ac:dyDescent="0.25">
      <c r="A71" s="53" t="s">
        <v>156</v>
      </c>
      <c r="B71" s="323" t="s">
        <v>163</v>
      </c>
      <c r="C71" s="320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>
        <v>18</v>
      </c>
      <c r="O71" s="45"/>
      <c r="P71" s="45"/>
      <c r="Q71" s="45"/>
      <c r="R71" s="45"/>
      <c r="S71" s="45"/>
      <c r="T71" s="45"/>
      <c r="U71" s="45"/>
      <c r="V71" s="45"/>
      <c r="W71" s="49"/>
      <c r="X71" s="49"/>
      <c r="Y71" s="45"/>
      <c r="Z71" s="45"/>
      <c r="AA71" s="45"/>
      <c r="AB71" s="45"/>
      <c r="AC71" s="45"/>
      <c r="AD71" s="45"/>
      <c r="AE71" s="49"/>
      <c r="AF71" s="49"/>
      <c r="AG71" s="45"/>
      <c r="AH71" s="45"/>
      <c r="AI71" s="45"/>
      <c r="AJ71" s="45"/>
      <c r="AK71" s="45"/>
      <c r="AL71" s="45"/>
      <c r="AM71" s="49"/>
      <c r="AN71" s="49"/>
      <c r="AO71" s="45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</row>
    <row r="72" spans="1:52" ht="26.25" customHeight="1" x14ac:dyDescent="0.25">
      <c r="A72" s="53" t="s">
        <v>157</v>
      </c>
      <c r="B72" s="323" t="s">
        <v>164</v>
      </c>
      <c r="C72" s="320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>
        <v>18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</row>
    <row r="73" spans="1:52" ht="14.25" customHeight="1" x14ac:dyDescent="0.25">
      <c r="A73" s="53" t="s">
        <v>18</v>
      </c>
      <c r="B73" s="319" t="s">
        <v>80</v>
      </c>
      <c r="C73" s="320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>
        <v>0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</row>
    <row r="74" spans="1:52" ht="14.25" customHeight="1" x14ac:dyDescent="0.25">
      <c r="A74" s="53" t="s">
        <v>21</v>
      </c>
      <c r="B74" s="324" t="s">
        <v>81</v>
      </c>
      <c r="C74" s="320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>
        <v>0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</row>
    <row r="75" spans="1:52" ht="14.25" customHeight="1" x14ac:dyDescent="0.25">
      <c r="A75" s="53" t="s">
        <v>36</v>
      </c>
      <c r="B75" s="319" t="s">
        <v>82</v>
      </c>
      <c r="C75" s="320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>
        <v>0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</row>
    <row r="76" spans="1:52" ht="14.25" customHeight="1" x14ac:dyDescent="0.25">
      <c r="A76" s="53" t="s">
        <v>41</v>
      </c>
      <c r="B76" s="319" t="s">
        <v>83</v>
      </c>
      <c r="C76" s="320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>
        <v>0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</row>
    <row r="77" spans="1:52" ht="14.25" customHeight="1" x14ac:dyDescent="0.25">
      <c r="A77" s="53" t="s">
        <v>84</v>
      </c>
      <c r="B77" s="319" t="s">
        <v>85</v>
      </c>
      <c r="C77" s="320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0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</row>
    <row r="78" spans="1:52" ht="14.25" customHeight="1" x14ac:dyDescent="0.25">
      <c r="A78" s="53" t="s">
        <v>46</v>
      </c>
      <c r="B78" s="319" t="s">
        <v>86</v>
      </c>
      <c r="C78" s="320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>
        <v>0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</row>
    <row r="79" spans="1:52" ht="14.25" customHeight="1" x14ac:dyDescent="0.25">
      <c r="A79" s="53" t="s">
        <v>87</v>
      </c>
      <c r="B79" s="319" t="s">
        <v>88</v>
      </c>
      <c r="C79" s="320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>
        <v>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</row>
    <row r="80" spans="1:52" ht="14.25" customHeight="1" x14ac:dyDescent="0.25">
      <c r="A80" s="53" t="s">
        <v>89</v>
      </c>
      <c r="B80" s="319" t="s">
        <v>90</v>
      </c>
      <c r="C80" s="320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>
        <v>0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</row>
    <row r="81" spans="1:52" ht="12.75" customHeight="1" thickBot="1" x14ac:dyDescent="0.3">
      <c r="A81" s="65" t="s">
        <v>48</v>
      </c>
      <c r="B81" s="321" t="s">
        <v>91</v>
      </c>
      <c r="C81" s="322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>
        <v>0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</row>
    <row r="82" spans="1:52" ht="12.75" customHeight="1" x14ac:dyDescent="0.25">
      <c r="A82" s="66" t="s">
        <v>92</v>
      </c>
      <c r="B82" s="318" t="s">
        <v>93</v>
      </c>
      <c r="C82" s="294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</row>
    <row r="83" spans="1:52" ht="12.75" customHeight="1" x14ac:dyDescent="0.25">
      <c r="A83" s="66" t="s">
        <v>94</v>
      </c>
      <c r="B83" s="318" t="s">
        <v>95</v>
      </c>
      <c r="C83" s="294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</row>
    <row r="84" spans="1:52" ht="12.75" customHeight="1" x14ac:dyDescent="0.25">
      <c r="A84" s="66" t="s">
        <v>96</v>
      </c>
      <c r="B84" s="318" t="s">
        <v>97</v>
      </c>
      <c r="C84" s="294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</row>
    <row r="85" spans="1:52" ht="12.75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</row>
    <row r="86" spans="1:52" ht="12.75" customHeight="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</row>
    <row r="87" spans="1:52" ht="12.75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</row>
    <row r="88" spans="1:52" ht="12.75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</row>
    <row r="89" spans="1:52" ht="12.75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</row>
    <row r="90" spans="1:52" ht="12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</row>
    <row r="91" spans="1:52" ht="12.75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</row>
    <row r="92" spans="1:52" ht="12.75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</row>
    <row r="93" spans="1:52" ht="12.75" customHeight="1" x14ac:dyDescent="0.25">
      <c r="A93" s="49"/>
      <c r="B93" s="161"/>
      <c r="C93" s="162"/>
      <c r="D93" s="163"/>
      <c r="E93" s="164"/>
      <c r="F93" s="165"/>
      <c r="G93" s="125"/>
      <c r="H93" s="166"/>
      <c r="I93" s="167"/>
      <c r="J93" s="168"/>
      <c r="K93" s="125"/>
      <c r="L93" s="169"/>
      <c r="M93" s="167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</row>
    <row r="94" spans="1:52" ht="12.75" customHeight="1" x14ac:dyDescent="0.25">
      <c r="A94" s="49"/>
      <c r="B94" s="161"/>
      <c r="C94" s="170"/>
      <c r="D94" s="171"/>
      <c r="E94" s="31"/>
      <c r="F94" s="165"/>
      <c r="G94" s="125"/>
      <c r="H94" s="166"/>
      <c r="I94" s="167"/>
      <c r="J94" s="167"/>
      <c r="K94" s="172"/>
      <c r="L94" s="169"/>
      <c r="M94" s="125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</row>
    <row r="95" spans="1:52" ht="12.75" customHeight="1" x14ac:dyDescent="0.25">
      <c r="A95" s="49"/>
      <c r="B95" s="161"/>
      <c r="C95" s="173"/>
      <c r="D95" s="174"/>
      <c r="E95" s="164"/>
      <c r="F95" s="165"/>
      <c r="G95" s="125"/>
      <c r="H95" s="166"/>
      <c r="I95" s="167"/>
      <c r="J95" s="168"/>
      <c r="K95" s="125"/>
      <c r="L95" s="169"/>
      <c r="M95" s="167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</row>
    <row r="96" spans="1:52" ht="12.75" customHeight="1" x14ac:dyDescent="0.25">
      <c r="A96" s="49"/>
      <c r="B96" s="175"/>
      <c r="C96" s="176"/>
      <c r="D96" s="177"/>
      <c r="E96" s="31"/>
      <c r="F96" s="165"/>
      <c r="G96" s="125"/>
      <c r="H96" s="166"/>
      <c r="I96" s="178"/>
      <c r="J96" s="178"/>
      <c r="K96" s="179"/>
      <c r="L96" s="180"/>
      <c r="M96" s="181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</row>
    <row r="97" spans="1:52" ht="12.75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</row>
    <row r="98" spans="1:52" ht="12.75" customHeight="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</row>
    <row r="99" spans="1:52" ht="12.75" customHeight="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</row>
    <row r="100" spans="1:52" ht="12.75" customHeight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</row>
    <row r="101" spans="1:52" ht="12.75" customHeight="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</row>
    <row r="102" spans="1:52" ht="12.75" customHeight="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</row>
    <row r="103" spans="1:52" ht="12.75" customHeight="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</row>
    <row r="104" spans="1:52" ht="12.75" customHeight="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</row>
    <row r="105" spans="1:52" ht="12.75" customHeight="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</row>
    <row r="106" spans="1:52" ht="12.75" customHeight="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</row>
    <row r="107" spans="1:52" ht="12.75" customHeight="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</row>
    <row r="108" spans="1:52" ht="12.75" customHeight="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</row>
    <row r="109" spans="1:52" ht="12.75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</row>
    <row r="110" spans="1:52" ht="12.75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</row>
    <row r="111" spans="1:52" ht="12.75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</row>
    <row r="112" spans="1:52" ht="12.75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</row>
    <row r="113" spans="1:52" ht="12.75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</row>
    <row r="114" spans="1:52" ht="12.75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</row>
    <row r="115" spans="1:52" ht="12.75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</row>
    <row r="116" spans="1:52" ht="12.75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</row>
    <row r="117" spans="1:52" ht="12.75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</row>
    <row r="118" spans="1:52" ht="12.75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</row>
    <row r="119" spans="1:52" ht="12.75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</row>
    <row r="120" spans="1:52" ht="12.75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</row>
    <row r="121" spans="1:52" ht="12.75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</row>
    <row r="122" spans="1:52" ht="12.75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</row>
    <row r="123" spans="1:52" ht="12.75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</row>
    <row r="124" spans="1:52" ht="12.75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</row>
    <row r="125" spans="1:52" ht="12.75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</row>
    <row r="126" spans="1:52" ht="12.75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</row>
    <row r="127" spans="1:52" ht="12.75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</row>
    <row r="128" spans="1:52" ht="12.75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</row>
    <row r="129" spans="1:52" ht="12.75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</row>
    <row r="130" spans="1:52" ht="12.75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</row>
    <row r="131" spans="1:52" ht="12.75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</row>
    <row r="132" spans="1:52" ht="12.75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</row>
    <row r="133" spans="1:52" ht="12.75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</row>
    <row r="134" spans="1:52" ht="12.75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</row>
    <row r="135" spans="1:52" ht="12.75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</row>
    <row r="136" spans="1:52" ht="12.75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</row>
    <row r="137" spans="1:52" ht="12.75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</row>
    <row r="138" spans="1:52" ht="12.75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</row>
    <row r="139" spans="1:52" ht="12.75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</row>
    <row r="140" spans="1:52" ht="12.75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</row>
    <row r="141" spans="1:52" ht="12.75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</row>
    <row r="142" spans="1:52" ht="12.75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</row>
    <row r="143" spans="1:52" ht="12.75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</row>
    <row r="144" spans="1:52" ht="12.75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</row>
    <row r="145" spans="1:52" ht="12.75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</row>
    <row r="146" spans="1:52" ht="12.75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</row>
    <row r="147" spans="1:52" ht="12.75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</row>
    <row r="148" spans="1:52" ht="12.75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</row>
    <row r="149" spans="1:52" ht="12.75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</row>
    <row r="150" spans="1:52" ht="12.75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</row>
    <row r="151" spans="1:52" ht="12.75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</row>
    <row r="152" spans="1:52" ht="12.75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</row>
    <row r="153" spans="1:52" ht="12.75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</row>
    <row r="154" spans="1:52" ht="12.75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</row>
    <row r="155" spans="1:52" ht="12.75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</row>
    <row r="156" spans="1:52" ht="12.75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</row>
    <row r="157" spans="1:52" ht="12.75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</row>
    <row r="158" spans="1:52" ht="12.75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</row>
    <row r="159" spans="1:52" ht="12.75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</row>
    <row r="160" spans="1:52" ht="12.75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</row>
    <row r="161" spans="1:52" ht="12.7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</row>
    <row r="162" spans="1:52" ht="12.75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</row>
    <row r="163" spans="1:52" ht="12.75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</row>
    <row r="164" spans="1:52" ht="12.75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</row>
    <row r="165" spans="1:52" ht="12.75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</row>
    <row r="166" spans="1:52" ht="12.75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</row>
    <row r="167" spans="1:52" ht="12.75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</row>
    <row r="168" spans="1:52" ht="12.75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</row>
    <row r="169" spans="1:52" ht="12.75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</row>
    <row r="170" spans="1:52" ht="12.75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</row>
    <row r="171" spans="1:52" ht="12.75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</row>
    <row r="172" spans="1:52" ht="12.75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</row>
    <row r="173" spans="1:52" ht="12.75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</row>
    <row r="174" spans="1:52" ht="12.75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</row>
    <row r="175" spans="1:52" ht="12.75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</row>
    <row r="176" spans="1:52" ht="12.75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</row>
    <row r="177" spans="1:52" ht="12.75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</row>
    <row r="178" spans="1:52" ht="12.75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</row>
    <row r="179" spans="1:52" ht="12.75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spans="1:52" ht="12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spans="1:52" ht="12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</row>
    <row r="182" spans="1:52" ht="12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</row>
    <row r="183" spans="1:52" ht="12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</row>
    <row r="184" spans="1:52" ht="12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</row>
    <row r="185" spans="1:52" ht="12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</row>
    <row r="186" spans="1:52" ht="12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</row>
    <row r="187" spans="1:52" ht="12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</row>
    <row r="188" spans="1:52" ht="12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</row>
    <row r="189" spans="1:52" ht="12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</row>
    <row r="190" spans="1:52" ht="12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</row>
    <row r="191" spans="1:52" ht="12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</row>
    <row r="192" spans="1:52" ht="12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</row>
    <row r="193" spans="1:52" ht="12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</row>
    <row r="194" spans="1:52" ht="12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</row>
    <row r="195" spans="1:52" ht="12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</row>
    <row r="196" spans="1:52" ht="12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</row>
    <row r="197" spans="1:52" ht="12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</row>
    <row r="198" spans="1:52" ht="12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</row>
    <row r="199" spans="1:52" ht="12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</row>
    <row r="200" spans="1:52" ht="12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</row>
    <row r="201" spans="1:52" ht="12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</row>
    <row r="202" spans="1:52" ht="12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</row>
    <row r="203" spans="1:52" ht="12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</row>
    <row r="204" spans="1:52" ht="12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</row>
    <row r="205" spans="1:52" ht="12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</row>
    <row r="206" spans="1:52" ht="12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</row>
    <row r="207" spans="1:52" ht="12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</row>
    <row r="208" spans="1:52" ht="12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</row>
    <row r="209" spans="1:52" ht="12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</row>
    <row r="210" spans="1:52" ht="12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</row>
    <row r="211" spans="1:52" ht="12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</row>
    <row r="212" spans="1:52" ht="12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</row>
    <row r="213" spans="1:52" ht="12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</row>
    <row r="214" spans="1:52" ht="12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</row>
    <row r="215" spans="1:52" ht="12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</row>
    <row r="216" spans="1:52" ht="12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</row>
    <row r="217" spans="1:52" ht="12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</row>
    <row r="218" spans="1:52" ht="12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</row>
    <row r="219" spans="1:52" ht="12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</row>
    <row r="220" spans="1:52" ht="12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</row>
    <row r="221" spans="1:52" ht="12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</row>
    <row r="222" spans="1:52" ht="12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</row>
    <row r="223" spans="1:52" ht="12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</row>
    <row r="224" spans="1:52" ht="12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</row>
    <row r="225" spans="1:52" ht="12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</row>
    <row r="226" spans="1:52" ht="12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</row>
    <row r="227" spans="1:52" ht="12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</row>
    <row r="228" spans="1:52" ht="12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</row>
    <row r="229" spans="1:52" ht="12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</row>
    <row r="230" spans="1:52" ht="12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</row>
    <row r="231" spans="1:52" ht="12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</row>
    <row r="232" spans="1:52" ht="12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</row>
    <row r="233" spans="1:52" ht="12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</row>
    <row r="234" spans="1:52" ht="12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</row>
    <row r="235" spans="1:52" ht="12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</row>
    <row r="236" spans="1:52" ht="12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</row>
    <row r="237" spans="1:52" ht="12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</row>
    <row r="238" spans="1:52" ht="12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</row>
    <row r="239" spans="1:52" ht="12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</row>
    <row r="240" spans="1:52" ht="12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</row>
    <row r="241" spans="1:52" ht="12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</row>
    <row r="242" spans="1:52" ht="12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</row>
    <row r="243" spans="1:52" ht="12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</row>
    <row r="244" spans="1:52" ht="12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</row>
    <row r="245" spans="1:52" ht="12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</row>
    <row r="246" spans="1:52" ht="12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</row>
    <row r="247" spans="1:52" ht="12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</row>
    <row r="248" spans="1:52" ht="12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</row>
    <row r="249" spans="1:52" ht="12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</row>
    <row r="250" spans="1:52" ht="12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</row>
    <row r="251" spans="1:52" ht="12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</row>
    <row r="252" spans="1:52" ht="12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</row>
    <row r="253" spans="1:52" ht="12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</row>
    <row r="254" spans="1:52" ht="12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</row>
    <row r="255" spans="1:52" ht="12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</row>
    <row r="256" spans="1:52" ht="12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</row>
    <row r="257" spans="1:52" ht="12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</row>
    <row r="258" spans="1:52" ht="12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</row>
    <row r="259" spans="1:52" ht="12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</row>
    <row r="260" spans="1:52" ht="12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</row>
    <row r="261" spans="1:52" ht="12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</row>
    <row r="262" spans="1:52" ht="12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</row>
    <row r="263" spans="1:52" ht="12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</row>
    <row r="264" spans="1:52" ht="12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</row>
    <row r="265" spans="1:52" ht="12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</row>
    <row r="266" spans="1:52" ht="12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</row>
    <row r="267" spans="1:52" ht="12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</row>
    <row r="268" spans="1:52" ht="12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</row>
    <row r="269" spans="1:52" ht="12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</row>
    <row r="270" spans="1:52" ht="12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</row>
    <row r="271" spans="1:52" ht="12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</row>
    <row r="272" spans="1:52" ht="12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</row>
    <row r="273" spans="1:52" ht="12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</row>
    <row r="274" spans="1:52" ht="12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</row>
    <row r="275" spans="1:52" ht="12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</row>
    <row r="276" spans="1:52" ht="12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</row>
    <row r="277" spans="1:52" ht="12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</row>
    <row r="278" spans="1:52" ht="12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</row>
    <row r="279" spans="1:52" ht="15.75" customHeight="1" x14ac:dyDescent="0.2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</row>
    <row r="280" spans="1:52" ht="15.75" customHeight="1" x14ac:dyDescent="0.25"/>
    <row r="281" spans="1:52" ht="15.75" customHeight="1" x14ac:dyDescent="0.25"/>
    <row r="282" spans="1:52" ht="15.75" customHeight="1" x14ac:dyDescent="0.25"/>
    <row r="283" spans="1:52" ht="15.75" customHeight="1" x14ac:dyDescent="0.25"/>
    <row r="284" spans="1:52" ht="15.75" customHeight="1" x14ac:dyDescent="0.25"/>
    <row r="285" spans="1:52" ht="15.75" customHeight="1" x14ac:dyDescent="0.25"/>
    <row r="286" spans="1:52" ht="15.75" customHeight="1" x14ac:dyDescent="0.25"/>
    <row r="287" spans="1:52" ht="15.75" customHeight="1" x14ac:dyDescent="0.25"/>
    <row r="288" spans="1:5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55">
    <mergeCell ref="AZ7:BF7"/>
    <mergeCell ref="BG7:BG9"/>
    <mergeCell ref="A5:B5"/>
    <mergeCell ref="C5:AW5"/>
    <mergeCell ref="A6:B6"/>
    <mergeCell ref="C6:AW6"/>
    <mergeCell ref="A7:A9"/>
    <mergeCell ref="B7:B9"/>
    <mergeCell ref="C7:C9"/>
    <mergeCell ref="E7:E9"/>
    <mergeCell ref="F7:L7"/>
    <mergeCell ref="A61:C61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83:C83"/>
    <mergeCell ref="B84:C84"/>
    <mergeCell ref="B76:C76"/>
    <mergeCell ref="B77:C77"/>
    <mergeCell ref="B78:C78"/>
    <mergeCell ref="B79:C79"/>
    <mergeCell ref="B80:C80"/>
    <mergeCell ref="B81:C81"/>
    <mergeCell ref="B82:C82"/>
    <mergeCell ref="A1:B3"/>
    <mergeCell ref="C1:AQ3"/>
    <mergeCell ref="AR1:AW1"/>
    <mergeCell ref="AR2:AW2"/>
    <mergeCell ref="AR3:AW3"/>
    <mergeCell ref="A4:B4"/>
    <mergeCell ref="C4:AX4"/>
    <mergeCell ref="M7:M9"/>
    <mergeCell ref="N7:P7"/>
    <mergeCell ref="Q7:Q9"/>
    <mergeCell ref="R7:X7"/>
    <mergeCell ref="AH7:AN7"/>
    <mergeCell ref="AO7:AO9"/>
    <mergeCell ref="AP7:AV7"/>
    <mergeCell ref="N59:W59"/>
    <mergeCell ref="AW7:AW9"/>
    <mergeCell ref="AX7:AX9"/>
    <mergeCell ref="AY7:AY9"/>
    <mergeCell ref="Y7:Y9"/>
    <mergeCell ref="Z7:AF7"/>
    <mergeCell ref="AG7:AG9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Jefes de enfermeria</vt:lpstr>
      <vt:lpstr>Auxiliares de enfermer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Sistemas de información Ge2</cp:lastModifiedBy>
  <dcterms:created xsi:type="dcterms:W3CDTF">2026-06-01T17:39:56Z</dcterms:created>
  <dcterms:modified xsi:type="dcterms:W3CDTF">2026-06-17T12:34:39Z</dcterms:modified>
</cp:coreProperties>
</file>